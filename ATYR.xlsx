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260" documentId="8_{AC3C9AEA-F414-49D1-BDB4-D2CC448464CC}" xr6:coauthVersionLast="47" xr6:coauthVersionMax="47" xr10:uidLastSave="{441F20FC-89D1-4B12-8452-01B6A6FE7926}"/>
  <bookViews>
    <workbookView xWindow="-21480" yWindow="2955" windowWidth="17520" windowHeight="13140" activeTab="2" xr2:uid="{4C8254ED-3B3D-461B-A470-56479CFDD814}"/>
  </bookViews>
  <sheets>
    <sheet name="Main" sheetId="1" r:id="rId1"/>
    <sheet name="Model" sheetId="3" r:id="rId2"/>
    <sheet name="Pipelin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F11" i="3"/>
  <c r="G11" i="3"/>
  <c r="H11" i="3"/>
  <c r="D11" i="3"/>
  <c r="J7" i="1"/>
  <c r="J9" i="1"/>
  <c r="J8" i="1"/>
  <c r="H27" i="3"/>
  <c r="H26" i="3"/>
  <c r="H19" i="3"/>
  <c r="C9" i="3"/>
  <c r="D2" i="3"/>
  <c r="E2" i="3" s="1"/>
  <c r="F2" i="3" s="1"/>
  <c r="G2" i="3" s="1"/>
  <c r="H2" i="3" s="1"/>
  <c r="J10" i="1"/>
  <c r="J6" i="1"/>
</calcChain>
</file>

<file path=xl/sharedStrings.xml><?xml version="1.0" encoding="utf-8"?>
<sst xmlns="http://schemas.openxmlformats.org/spreadsheetml/2006/main" count="62" uniqueCount="58">
  <si>
    <t>Price</t>
  </si>
  <si>
    <t>S/O</t>
  </si>
  <si>
    <t>MC</t>
  </si>
  <si>
    <t>Cash</t>
  </si>
  <si>
    <t>Assets</t>
  </si>
  <si>
    <t>Debt</t>
  </si>
  <si>
    <t>EV</t>
  </si>
  <si>
    <t>ATYR:</t>
  </si>
  <si>
    <t>Drugs:</t>
  </si>
  <si>
    <t>Efzo fit</t>
  </si>
  <si>
    <t>Phase 3</t>
  </si>
  <si>
    <t>Data mid Q3</t>
  </si>
  <si>
    <t>Efzo Con</t>
  </si>
  <si>
    <t>NRP2 Modulator</t>
  </si>
  <si>
    <t>Histidyl tRNA Synethase</t>
  </si>
  <si>
    <t>ATYR0101</t>
  </si>
  <si>
    <t>ATYR050</t>
  </si>
  <si>
    <t>NAME</t>
  </si>
  <si>
    <t>MOA</t>
  </si>
  <si>
    <t>HARS</t>
  </si>
  <si>
    <t>DARS</t>
  </si>
  <si>
    <t>AARS</t>
  </si>
  <si>
    <t>Stage</t>
  </si>
  <si>
    <t>Near Event</t>
  </si>
  <si>
    <t>Disease</t>
  </si>
  <si>
    <t>Pulmonary Sarcoidosis</t>
  </si>
  <si>
    <t>SSc-ILD</t>
  </si>
  <si>
    <t>Fibrosis</t>
  </si>
  <si>
    <t>Liver Disorder</t>
  </si>
  <si>
    <t>Phase 2</t>
  </si>
  <si>
    <t>Pre-Clinical</t>
  </si>
  <si>
    <t>Conclusion:</t>
  </si>
  <si>
    <t xml:space="preserve">It overwhelming seems like this drug will be a dudd in the phase 3 trial. Due to Efzofitimod being the furthest developed drug in ATYR's pipeline, and the only near term revenue generating asset the company has on its horizon, I will opening a long put position on ATYR with strikes near spot and expiration in early october. As per the kelly criterion, I will be allocating 6.25% of my portfolio to this bet. I expect to return no less than 60% with this trade. This is quite a lopsided RR however I believe the probability will tend to my favor. </t>
  </si>
  <si>
    <t xml:space="preserve">essentially, I'd imagine at least 75% of their marketcap is dependent on this Phase 3 trial presenting some meaningful and positive data. I am under the impression that this HARS "moa" is not a mechanism at all and simply an erroneous attritbution of the immune response to the JO1 antibody. Because of this I will elect to enter a hedged short position with 5% of my capital. I believe that taking such a short out will yield a 3% gain on my portfolio with a risk profile of about 87% upside and 13% downside. </t>
  </si>
  <si>
    <t>Revenue</t>
  </si>
  <si>
    <t>Net Income</t>
  </si>
  <si>
    <t>CFFO</t>
  </si>
  <si>
    <t>CapEx</t>
  </si>
  <si>
    <t>FCF</t>
  </si>
  <si>
    <t>N/A</t>
  </si>
  <si>
    <t>For Sale Inves.</t>
  </si>
  <si>
    <t>Prepaid Exp.</t>
  </si>
  <si>
    <t>Total Current</t>
  </si>
  <si>
    <t>Restricted cash</t>
  </si>
  <si>
    <t>PPnE</t>
  </si>
  <si>
    <t>Leases</t>
  </si>
  <si>
    <t>Total Assets</t>
  </si>
  <si>
    <t>Other</t>
  </si>
  <si>
    <t>A/P</t>
  </si>
  <si>
    <t>Accrued Exp.</t>
  </si>
  <si>
    <t xml:space="preserve">Total Current </t>
  </si>
  <si>
    <t>Lease Liabs.</t>
  </si>
  <si>
    <t>Total Liabs</t>
  </si>
  <si>
    <t>StockH Eq.</t>
  </si>
  <si>
    <t>In Thousands</t>
  </si>
  <si>
    <t>Net Income Y/y (%)</t>
  </si>
  <si>
    <t>Patients</t>
  </si>
  <si>
    <t>company is burning cash, there valuation is most certainly being propped by the probability of success of this phase three trial.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</si>
</sst>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AD36-7DF4-4759-8248-600902DBA52D}">
  <dimension ref="H3:J13"/>
  <sheetViews>
    <sheetView workbookViewId="0">
      <selection activeCell="I14" sqref="I14"/>
    </sheetView>
  </sheetViews>
  <sheetFormatPr defaultRowHeight="15" x14ac:dyDescent="0.25"/>
  <cols>
    <col min="8" max="8" width="10.28515625" customWidth="1"/>
    <col min="10" max="10" width="10" bestFit="1" customWidth="1"/>
  </cols>
  <sheetData>
    <row r="3" spans="8:10" x14ac:dyDescent="0.25">
      <c r="H3" s="1" t="s">
        <v>7</v>
      </c>
    </row>
    <row r="4" spans="8:10" x14ac:dyDescent="0.25">
      <c r="I4" t="s">
        <v>0</v>
      </c>
      <c r="J4">
        <v>5.59</v>
      </c>
    </row>
    <row r="5" spans="8:10" x14ac:dyDescent="0.25">
      <c r="I5" t="s">
        <v>1</v>
      </c>
      <c r="J5">
        <v>96000000</v>
      </c>
    </row>
    <row r="6" spans="8:10" x14ac:dyDescent="0.25">
      <c r="I6" t="s">
        <v>2</v>
      </c>
      <c r="J6">
        <f>J5*J4</f>
        <v>536640000</v>
      </c>
    </row>
    <row r="7" spans="8:10" x14ac:dyDescent="0.25">
      <c r="I7" t="s">
        <v>3</v>
      </c>
      <c r="J7">
        <f>17220*1000</f>
        <v>17220000</v>
      </c>
    </row>
    <row r="8" spans="8:10" x14ac:dyDescent="0.25">
      <c r="I8" t="s">
        <v>4</v>
      </c>
      <c r="J8">
        <f>101534*1000</f>
        <v>101534000</v>
      </c>
    </row>
    <row r="9" spans="8:10" x14ac:dyDescent="0.25">
      <c r="I9" t="s">
        <v>5</v>
      </c>
      <c r="J9">
        <f>26878*1000</f>
        <v>26878000</v>
      </c>
    </row>
    <row r="10" spans="8:10" x14ac:dyDescent="0.25">
      <c r="I10" t="s">
        <v>6</v>
      </c>
      <c r="J10" s="1">
        <f>J6-J7+J9</f>
        <v>546298000</v>
      </c>
    </row>
    <row r="13" spans="8:10" x14ac:dyDescent="0.25">
      <c r="H13" s="1" t="s">
        <v>31</v>
      </c>
      <c r="I13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B6AA-3196-4CE7-AC01-54322815463F}">
  <dimension ref="A1:J29"/>
  <sheetViews>
    <sheetView workbookViewId="0">
      <selection activeCell="J6" sqref="J6"/>
    </sheetView>
  </sheetViews>
  <sheetFormatPr defaultRowHeight="15" x14ac:dyDescent="0.25"/>
  <cols>
    <col min="2" max="2" width="16" customWidth="1"/>
  </cols>
  <sheetData>
    <row r="1" spans="1:10" x14ac:dyDescent="0.25">
      <c r="A1" s="1" t="s">
        <v>7</v>
      </c>
      <c r="B1" s="1" t="s">
        <v>54</v>
      </c>
    </row>
    <row r="2" spans="1:10" x14ac:dyDescent="0.25">
      <c r="C2" s="1">
        <v>2019</v>
      </c>
      <c r="D2" s="1">
        <f>C2+1</f>
        <v>2020</v>
      </c>
      <c r="E2" s="1">
        <f t="shared" ref="E2:G2" si="0">D2+1</f>
        <v>2021</v>
      </c>
      <c r="F2" s="1">
        <f t="shared" si="0"/>
        <v>2022</v>
      </c>
      <c r="G2" s="1">
        <f t="shared" si="0"/>
        <v>2023</v>
      </c>
      <c r="H2" s="1">
        <f>G2+1</f>
        <v>2024</v>
      </c>
    </row>
    <row r="3" spans="1:10" x14ac:dyDescent="0.25">
      <c r="C3" s="1"/>
      <c r="D3" s="1"/>
      <c r="E3" s="1"/>
      <c r="F3" s="1"/>
      <c r="G3" s="1"/>
      <c r="H3" s="1"/>
    </row>
    <row r="4" spans="1:10" x14ac:dyDescent="0.25">
      <c r="B4" t="s">
        <v>34</v>
      </c>
      <c r="C4">
        <v>-22978</v>
      </c>
      <c r="D4">
        <v>10455</v>
      </c>
      <c r="E4" t="s">
        <v>39</v>
      </c>
      <c r="F4">
        <v>-46404</v>
      </c>
      <c r="G4">
        <v>-54919</v>
      </c>
      <c r="H4">
        <v>-67914</v>
      </c>
    </row>
    <row r="5" spans="1:10" x14ac:dyDescent="0.25">
      <c r="B5" t="s">
        <v>35</v>
      </c>
      <c r="C5">
        <v>-23603</v>
      </c>
      <c r="D5">
        <v>-16230</v>
      </c>
      <c r="E5">
        <v>-33777</v>
      </c>
      <c r="F5">
        <v>-45343</v>
      </c>
      <c r="G5">
        <v>-50397</v>
      </c>
      <c r="H5">
        <v>-64022</v>
      </c>
    </row>
    <row r="6" spans="1:10" x14ac:dyDescent="0.25">
      <c r="J6" t="s">
        <v>57</v>
      </c>
    </row>
    <row r="7" spans="1:10" x14ac:dyDescent="0.25">
      <c r="B7" t="s">
        <v>36</v>
      </c>
      <c r="C7">
        <v>-20013</v>
      </c>
      <c r="D7">
        <v>-15301</v>
      </c>
      <c r="E7">
        <v>-33075</v>
      </c>
      <c r="F7">
        <v>-41886</v>
      </c>
      <c r="G7">
        <v>-33221</v>
      </c>
      <c r="H7">
        <v>-69119</v>
      </c>
    </row>
    <row r="8" spans="1:10" x14ac:dyDescent="0.25">
      <c r="B8" t="s">
        <v>37</v>
      </c>
      <c r="C8">
        <v>79</v>
      </c>
    </row>
    <row r="9" spans="1:10" x14ac:dyDescent="0.25">
      <c r="B9" t="s">
        <v>38</v>
      </c>
      <c r="C9">
        <f>C7-C8</f>
        <v>-20092</v>
      </c>
    </row>
    <row r="11" spans="1:10" x14ac:dyDescent="0.25">
      <c r="B11" t="s">
        <v>55</v>
      </c>
      <c r="D11" s="2">
        <f>(D5-C5)*-1/C5</f>
        <v>0.31237554548150659</v>
      </c>
      <c r="E11" s="2">
        <f t="shared" ref="E11:H11" si="1">(E5-D5)*-1/D5</f>
        <v>-1.0811460258780037</v>
      </c>
      <c r="F11" s="2">
        <f t="shared" si="1"/>
        <v>-0.34242235840956864</v>
      </c>
      <c r="G11" s="2">
        <f t="shared" si="1"/>
        <v>-0.11146152658624264</v>
      </c>
      <c r="H11" s="2">
        <f t="shared" si="1"/>
        <v>-0.27035339405123321</v>
      </c>
    </row>
    <row r="13" spans="1:10" x14ac:dyDescent="0.25">
      <c r="B13" t="s">
        <v>3</v>
      </c>
      <c r="H13">
        <v>17220</v>
      </c>
    </row>
    <row r="14" spans="1:10" x14ac:dyDescent="0.25">
      <c r="B14" t="s">
        <v>40</v>
      </c>
      <c r="H14">
        <v>63126</v>
      </c>
    </row>
    <row r="15" spans="1:10" x14ac:dyDescent="0.25">
      <c r="B15" t="s">
        <v>41</v>
      </c>
      <c r="H15">
        <v>6648</v>
      </c>
    </row>
    <row r="16" spans="1:10" x14ac:dyDescent="0.25">
      <c r="B16" t="s">
        <v>42</v>
      </c>
      <c r="H16">
        <v>87492</v>
      </c>
    </row>
    <row r="17" spans="2:8" x14ac:dyDescent="0.25">
      <c r="B17" t="s">
        <v>43</v>
      </c>
      <c r="H17">
        <v>2878</v>
      </c>
    </row>
    <row r="18" spans="2:8" x14ac:dyDescent="0.25">
      <c r="B18" t="s">
        <v>44</v>
      </c>
      <c r="H18">
        <v>4526</v>
      </c>
    </row>
    <row r="19" spans="2:8" x14ac:dyDescent="0.25">
      <c r="B19" t="s">
        <v>45</v>
      </c>
      <c r="H19">
        <f>4526+5678</f>
        <v>10204</v>
      </c>
    </row>
    <row r="20" spans="2:8" x14ac:dyDescent="0.25">
      <c r="B20" t="s">
        <v>47</v>
      </c>
      <c r="H20">
        <v>894</v>
      </c>
    </row>
    <row r="21" spans="2:8" x14ac:dyDescent="0.25">
      <c r="B21" t="s">
        <v>46</v>
      </c>
      <c r="H21" s="1">
        <v>101534</v>
      </c>
    </row>
    <row r="23" spans="2:8" x14ac:dyDescent="0.25">
      <c r="B23" t="s">
        <v>48</v>
      </c>
      <c r="H23">
        <v>3881</v>
      </c>
    </row>
    <row r="24" spans="2:8" x14ac:dyDescent="0.25">
      <c r="B24" t="s">
        <v>49</v>
      </c>
      <c r="H24">
        <v>10319</v>
      </c>
    </row>
    <row r="25" spans="2:8" x14ac:dyDescent="0.25">
      <c r="B25" t="s">
        <v>50</v>
      </c>
      <c r="H25">
        <v>15531</v>
      </c>
    </row>
    <row r="26" spans="2:8" x14ac:dyDescent="0.25">
      <c r="B26" t="s">
        <v>51</v>
      </c>
      <c r="H26">
        <f>10745+602</f>
        <v>11347</v>
      </c>
    </row>
    <row r="27" spans="2:8" x14ac:dyDescent="0.25">
      <c r="B27" t="s">
        <v>52</v>
      </c>
      <c r="H27" s="1">
        <f>H21-H29</f>
        <v>26878</v>
      </c>
    </row>
    <row r="29" spans="2:8" x14ac:dyDescent="0.25">
      <c r="B29" t="s">
        <v>53</v>
      </c>
      <c r="H29">
        <v>74656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B039-298E-4B62-BF32-90E04980AF0C}">
  <dimension ref="A1:I11"/>
  <sheetViews>
    <sheetView tabSelected="1" topLeftCell="A2" workbookViewId="0">
      <selection activeCell="I4" sqref="I4"/>
    </sheetView>
  </sheetViews>
  <sheetFormatPr defaultRowHeight="15" x14ac:dyDescent="0.25"/>
  <cols>
    <col min="5" max="5" width="11" customWidth="1"/>
  </cols>
  <sheetData>
    <row r="1" spans="1:9" x14ac:dyDescent="0.25">
      <c r="A1" s="1" t="s">
        <v>8</v>
      </c>
      <c r="B1" t="s">
        <v>17</v>
      </c>
      <c r="C1" t="s">
        <v>18</v>
      </c>
      <c r="D1" t="s">
        <v>22</v>
      </c>
      <c r="E1" t="s">
        <v>23</v>
      </c>
      <c r="F1" t="s">
        <v>24</v>
      </c>
    </row>
    <row r="3" spans="1:9" x14ac:dyDescent="0.25">
      <c r="B3" s="1" t="s">
        <v>9</v>
      </c>
      <c r="C3" s="1" t="s">
        <v>19</v>
      </c>
      <c r="D3" t="s">
        <v>10</v>
      </c>
      <c r="E3" t="s">
        <v>11</v>
      </c>
      <c r="F3" t="s">
        <v>25</v>
      </c>
      <c r="G3" t="s">
        <v>13</v>
      </c>
      <c r="H3" t="s">
        <v>14</v>
      </c>
    </row>
    <row r="4" spans="1:9" x14ac:dyDescent="0.25">
      <c r="B4" s="1" t="s">
        <v>12</v>
      </c>
      <c r="C4" s="1" t="s">
        <v>19</v>
      </c>
      <c r="D4" t="s">
        <v>29</v>
      </c>
      <c r="F4" t="s">
        <v>26</v>
      </c>
      <c r="I4" t="s">
        <v>33</v>
      </c>
    </row>
    <row r="6" spans="1:9" x14ac:dyDescent="0.25">
      <c r="B6" s="1" t="s">
        <v>15</v>
      </c>
      <c r="C6" t="s">
        <v>20</v>
      </c>
      <c r="D6" t="s">
        <v>30</v>
      </c>
      <c r="F6" t="s">
        <v>27</v>
      </c>
    </row>
    <row r="7" spans="1:9" x14ac:dyDescent="0.25">
      <c r="B7" s="1" t="s">
        <v>16</v>
      </c>
      <c r="C7" t="s">
        <v>21</v>
      </c>
      <c r="D7" t="s">
        <v>30</v>
      </c>
      <c r="F7" t="s">
        <v>28</v>
      </c>
    </row>
    <row r="11" spans="1:9" x14ac:dyDescent="0.25">
      <c r="B1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2025-08-28T22:03:47Z</dcterms:created>
  <dcterms:modified xsi:type="dcterms:W3CDTF">2025-09-15T20:42:25Z</dcterms:modified>
</cp:coreProperties>
</file>