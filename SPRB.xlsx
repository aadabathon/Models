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327" documentId="8_{B28B9995-CE4D-4841-831A-E34A5993DB75}" xr6:coauthVersionLast="47" xr6:coauthVersionMax="47" xr10:uidLastSave="{F4D5FC15-993E-4345-A802-B03721383177}"/>
  <bookViews>
    <workbookView xWindow="5520" yWindow="2085" windowWidth="18975" windowHeight="12210" activeTab="2" xr2:uid="{D4522DBD-E874-4065-B58F-AE9F5C6F6979}"/>
  </bookViews>
  <sheets>
    <sheet name="Main" sheetId="1" r:id="rId1"/>
    <sheet name="Model" sheetId="2" r:id="rId2"/>
    <sheet name="Pipel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2" l="1"/>
  <c r="M34" i="2" s="1"/>
  <c r="K34" i="2"/>
  <c r="K36" i="2"/>
  <c r="K38" i="2" s="1"/>
  <c r="K40" i="2" s="1"/>
  <c r="K43" i="2" s="1"/>
  <c r="L36" i="2"/>
  <c r="L38" i="2" s="1"/>
  <c r="J36" i="2"/>
  <c r="J38" i="2" s="1"/>
  <c r="E35" i="2"/>
  <c r="K33" i="2"/>
  <c r="L33" i="2" s="1"/>
  <c r="M33" i="2" s="1"/>
  <c r="N33" i="2" s="1"/>
  <c r="O33" i="2" s="1"/>
  <c r="P33" i="2" s="1"/>
  <c r="Q33" i="2" s="1"/>
  <c r="R33" i="2" s="1"/>
  <c r="S33" i="2" s="1"/>
  <c r="T33" i="2" s="1"/>
  <c r="F16" i="2"/>
  <c r="F8" i="2"/>
  <c r="E16" i="2"/>
  <c r="D16" i="2"/>
  <c r="D8" i="2"/>
  <c r="E8" i="2"/>
  <c r="C16" i="2"/>
  <c r="B16" i="2"/>
  <c r="C8" i="2"/>
  <c r="C9" i="2" s="1"/>
  <c r="C11" i="2" s="1"/>
  <c r="B8" i="2"/>
  <c r="B9" i="2" s="1"/>
  <c r="B11" i="2" s="1"/>
  <c r="B17" i="2" s="1"/>
  <c r="D6" i="2"/>
  <c r="D7" i="2" s="1"/>
  <c r="E6" i="2"/>
  <c r="E7" i="2" s="1"/>
  <c r="E9" i="2" s="1"/>
  <c r="E11" i="2" s="1"/>
  <c r="F6" i="2"/>
  <c r="F7" i="2" s="1"/>
  <c r="F9" i="2" s="1"/>
  <c r="F11" i="2" s="1"/>
  <c r="F17" i="2" s="1"/>
  <c r="C6" i="2"/>
  <c r="B6" i="2"/>
  <c r="G16" i="2"/>
  <c r="G17" i="2" s="1"/>
  <c r="G8" i="2"/>
  <c r="G9" i="2" s="1"/>
  <c r="G6" i="2"/>
  <c r="G29" i="2"/>
  <c r="G22" i="2"/>
  <c r="G23" i="2" s="1"/>
  <c r="H6" i="1"/>
  <c r="H10" i="1" s="1"/>
  <c r="M36" i="2" l="1"/>
  <c r="M38" i="2" s="1"/>
  <c r="M42" i="2" s="1"/>
  <c r="N34" i="2"/>
  <c r="L42" i="2"/>
  <c r="L40" i="2"/>
  <c r="L43" i="2" s="1"/>
  <c r="C17" i="2"/>
  <c r="G31" i="2"/>
  <c r="E17" i="2"/>
  <c r="D9" i="2"/>
  <c r="D11" i="2" s="1"/>
  <c r="D17" i="2" s="1"/>
  <c r="M40" i="2" l="1"/>
  <c r="M43" i="2" s="1"/>
  <c r="N36" i="2"/>
  <c r="N38" i="2" s="1"/>
  <c r="O34" i="2"/>
  <c r="O36" i="2" l="1"/>
  <c r="O38" i="2" s="1"/>
  <c r="P34" i="2"/>
  <c r="N40" i="2"/>
  <c r="N42" i="2"/>
  <c r="N43" i="2" l="1"/>
  <c r="Q34" i="2"/>
  <c r="P36" i="2"/>
  <c r="P38" i="2" s="1"/>
  <c r="O40" i="2"/>
  <c r="O42" i="2"/>
  <c r="O43" i="2" l="1"/>
  <c r="R34" i="2"/>
  <c r="Q36" i="2"/>
  <c r="Q38" i="2" s="1"/>
  <c r="P42" i="2"/>
  <c r="P40" i="2"/>
  <c r="P43" i="2" s="1"/>
  <c r="Q42" i="2" l="1"/>
  <c r="Q40" i="2"/>
  <c r="Q43" i="2" s="1"/>
  <c r="S34" i="2"/>
  <c r="R36" i="2"/>
  <c r="R38" i="2" s="1"/>
  <c r="S36" i="2" l="1"/>
  <c r="S38" i="2" s="1"/>
  <c r="T34" i="2"/>
  <c r="T36" i="2" s="1"/>
  <c r="T38" i="2" s="1"/>
  <c r="R40" i="2"/>
  <c r="R42" i="2"/>
  <c r="R43" i="2" l="1"/>
  <c r="T40" i="2"/>
  <c r="T42" i="2"/>
  <c r="S40" i="2"/>
  <c r="S42" i="2"/>
  <c r="S43" i="2" l="1"/>
  <c r="T43" i="2"/>
  <c r="J47" i="2" l="1"/>
  <c r="J49" i="2" s="1"/>
</calcChain>
</file>

<file path=xl/sharedStrings.xml><?xml version="1.0" encoding="utf-8"?>
<sst xmlns="http://schemas.openxmlformats.org/spreadsheetml/2006/main" count="72" uniqueCount="57">
  <si>
    <t>SPRB:</t>
  </si>
  <si>
    <t>Price</t>
  </si>
  <si>
    <t>S/O</t>
  </si>
  <si>
    <t>MC</t>
  </si>
  <si>
    <t>Cash</t>
  </si>
  <si>
    <t>Assets</t>
  </si>
  <si>
    <t>Debt</t>
  </si>
  <si>
    <t>EV</t>
  </si>
  <si>
    <t>In Ks</t>
  </si>
  <si>
    <t>Q125</t>
  </si>
  <si>
    <t>Q325</t>
  </si>
  <si>
    <t>N/A</t>
  </si>
  <si>
    <t>Tildacerfont Crotibon (Major Depressive Disorder)</t>
  </si>
  <si>
    <t>Tralesinidase Alfa (Sanfilippo Syndrome Type B)</t>
  </si>
  <si>
    <t>pipeline:</t>
  </si>
  <si>
    <t>MOA:</t>
  </si>
  <si>
    <t>Enzyme Replacement</t>
  </si>
  <si>
    <t>Corticotropin-releasing hormone receptor 1 antagnoist, small molecule</t>
  </si>
  <si>
    <t>Key events:</t>
  </si>
  <si>
    <t>BLA submission, 1st half 2026 (TA-ERT)</t>
  </si>
  <si>
    <t>Phase 2 data, 1st half 2026 (TC)</t>
  </si>
  <si>
    <t>Prepaid</t>
  </si>
  <si>
    <t>Other</t>
  </si>
  <si>
    <t>Total as.</t>
  </si>
  <si>
    <t>A/P</t>
  </si>
  <si>
    <t>Other curr</t>
  </si>
  <si>
    <t>Term loan</t>
  </si>
  <si>
    <t>Lease</t>
  </si>
  <si>
    <t>net debt</t>
  </si>
  <si>
    <t>S/E</t>
  </si>
  <si>
    <t>Revenue</t>
  </si>
  <si>
    <t>R/D</t>
  </si>
  <si>
    <t>G/A</t>
  </si>
  <si>
    <t>OpEx.</t>
  </si>
  <si>
    <t>OpInc.</t>
  </si>
  <si>
    <t>Interest</t>
  </si>
  <si>
    <t>Net Inc.</t>
  </si>
  <si>
    <t>(CF 3M ended)</t>
  </si>
  <si>
    <t>Sb Comp</t>
  </si>
  <si>
    <t>D&amp;A</t>
  </si>
  <si>
    <t>AccrExp</t>
  </si>
  <si>
    <t>other</t>
  </si>
  <si>
    <t>CFFO</t>
  </si>
  <si>
    <t>MPS IIIB:</t>
  </si>
  <si>
    <t>prevalence</t>
  </si>
  <si>
    <t>Expected Patients</t>
  </si>
  <si>
    <t>Market %</t>
  </si>
  <si>
    <t>Patients</t>
  </si>
  <si>
    <t>TAM</t>
  </si>
  <si>
    <t>Share</t>
  </si>
  <si>
    <t>COGS</t>
  </si>
  <si>
    <t>Gross</t>
  </si>
  <si>
    <t>Ops</t>
  </si>
  <si>
    <t>Tax</t>
  </si>
  <si>
    <t>Discount</t>
  </si>
  <si>
    <t>NPV</t>
  </si>
  <si>
    <t>Per Share: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</si>
</sst>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9525</xdr:rowOff>
    </xdr:from>
    <xdr:to>
      <xdr:col>8</xdr:col>
      <xdr:colOff>9525</xdr:colOff>
      <xdr:row>52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9C0BBD-C7D8-754C-E528-5E6B399DA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77025"/>
          <a:ext cx="5076825" cy="32289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B84D-018D-4EFE-A657-503D319618FE}">
  <dimension ref="G3:H10"/>
  <sheetViews>
    <sheetView workbookViewId="0">
      <selection activeCell="H5" sqref="H5"/>
    </sheetView>
  </sheetViews>
  <sheetFormatPr defaultRowHeight="15" x14ac:dyDescent="0.25"/>
  <sheetData>
    <row r="3" spans="7:8" x14ac:dyDescent="0.25">
      <c r="H3" s="1" t="s">
        <v>0</v>
      </c>
    </row>
    <row r="4" spans="7:8" x14ac:dyDescent="0.25">
      <c r="G4" t="s">
        <v>1</v>
      </c>
      <c r="H4">
        <v>80</v>
      </c>
    </row>
    <row r="5" spans="7:8" x14ac:dyDescent="0.25">
      <c r="G5" t="s">
        <v>2</v>
      </c>
      <c r="H5">
        <v>1070370</v>
      </c>
    </row>
    <row r="6" spans="7:8" x14ac:dyDescent="0.25">
      <c r="G6" t="s">
        <v>3</v>
      </c>
      <c r="H6" s="1">
        <f>H4*H5</f>
        <v>85629600</v>
      </c>
    </row>
    <row r="7" spans="7:8" x14ac:dyDescent="0.25">
      <c r="G7" t="s">
        <v>4</v>
      </c>
      <c r="H7">
        <v>10669000</v>
      </c>
    </row>
    <row r="8" spans="7:8" x14ac:dyDescent="0.25">
      <c r="G8" t="s">
        <v>5</v>
      </c>
      <c r="H8">
        <v>15313000</v>
      </c>
    </row>
    <row r="9" spans="7:8" x14ac:dyDescent="0.25">
      <c r="G9" t="s">
        <v>6</v>
      </c>
      <c r="H9">
        <v>9927</v>
      </c>
    </row>
    <row r="10" spans="7:8" x14ac:dyDescent="0.25">
      <c r="G10" t="s">
        <v>7</v>
      </c>
      <c r="H10" s="1">
        <f>H6-H7+H9</f>
        <v>74970527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8812-17ED-4CE4-B513-719E73D9B412}">
  <dimension ref="A1:T49"/>
  <sheetViews>
    <sheetView topLeftCell="C29" zoomScaleNormal="100" workbookViewId="0">
      <selection activeCell="O49" sqref="O49"/>
    </sheetView>
  </sheetViews>
  <sheetFormatPr defaultRowHeight="15" x14ac:dyDescent="0.25"/>
  <cols>
    <col min="5" max="5" width="12" bestFit="1" customWidth="1"/>
    <col min="10" max="10" width="10.85546875" customWidth="1"/>
  </cols>
  <sheetData>
    <row r="1" spans="1:7" x14ac:dyDescent="0.25">
      <c r="A1" s="1" t="s">
        <v>8</v>
      </c>
      <c r="G1" t="s">
        <v>37</v>
      </c>
    </row>
    <row r="2" spans="1:7" x14ac:dyDescent="0.25">
      <c r="B2" s="1">
        <v>21</v>
      </c>
      <c r="C2" s="1">
        <v>22</v>
      </c>
      <c r="D2" s="1">
        <v>23</v>
      </c>
      <c r="E2" s="1">
        <v>24</v>
      </c>
      <c r="F2" s="1" t="s">
        <v>9</v>
      </c>
      <c r="G2" s="1" t="s">
        <v>10</v>
      </c>
    </row>
    <row r="3" spans="1:7" x14ac:dyDescent="0.25">
      <c r="A3" t="s">
        <v>30</v>
      </c>
      <c r="B3" t="s">
        <v>11</v>
      </c>
      <c r="C3" t="s">
        <v>11</v>
      </c>
      <c r="D3">
        <v>10089</v>
      </c>
      <c r="E3">
        <v>4911</v>
      </c>
      <c r="F3" t="s">
        <v>11</v>
      </c>
      <c r="G3" t="s">
        <v>11</v>
      </c>
    </row>
    <row r="4" spans="1:7" x14ac:dyDescent="0.25">
      <c r="A4" t="s">
        <v>31</v>
      </c>
      <c r="B4">
        <v>30698</v>
      </c>
      <c r="C4">
        <v>35198</v>
      </c>
      <c r="D4">
        <v>49432</v>
      </c>
      <c r="E4">
        <v>46418</v>
      </c>
      <c r="F4">
        <v>10837</v>
      </c>
      <c r="G4">
        <v>5011</v>
      </c>
    </row>
    <row r="5" spans="1:7" x14ac:dyDescent="0.25">
      <c r="A5" t="s">
        <v>32</v>
      </c>
      <c r="B5">
        <v>11368</v>
      </c>
      <c r="C5">
        <v>12085</v>
      </c>
      <c r="D5">
        <v>12650</v>
      </c>
      <c r="E5">
        <v>14644</v>
      </c>
      <c r="F5">
        <v>3655</v>
      </c>
      <c r="G5">
        <v>3218</v>
      </c>
    </row>
    <row r="6" spans="1:7" x14ac:dyDescent="0.25">
      <c r="A6" t="s">
        <v>33</v>
      </c>
      <c r="B6">
        <f>SUM(B4:B5)</f>
        <v>42066</v>
      </c>
      <c r="C6">
        <f>SUM(C4:C5)</f>
        <v>47283</v>
      </c>
      <c r="D6">
        <f t="shared" ref="D6:F6" si="0">SUM(D4:D5)</f>
        <v>62082</v>
      </c>
      <c r="E6">
        <f t="shared" si="0"/>
        <v>61062</v>
      </c>
      <c r="F6">
        <f t="shared" si="0"/>
        <v>14492</v>
      </c>
      <c r="G6">
        <f>G4+G5</f>
        <v>8229</v>
      </c>
    </row>
    <row r="7" spans="1:7" x14ac:dyDescent="0.25">
      <c r="A7" t="s">
        <v>34</v>
      </c>
      <c r="B7">
        <v>-42066</v>
      </c>
      <c r="C7">
        <v>-47283</v>
      </c>
      <c r="D7">
        <f>D3-D6</f>
        <v>-51993</v>
      </c>
      <c r="E7">
        <f>E3-E6</f>
        <v>-56151</v>
      </c>
      <c r="F7">
        <f>0-F6</f>
        <v>-14492</v>
      </c>
      <c r="G7">
        <v>-8229</v>
      </c>
    </row>
    <row r="8" spans="1:7" x14ac:dyDescent="0.25">
      <c r="A8" t="s">
        <v>35</v>
      </c>
      <c r="B8">
        <f>119-345</f>
        <v>-226</v>
      </c>
      <c r="C8">
        <f>1523-420</f>
        <v>1103</v>
      </c>
      <c r="D8">
        <f>4557-483</f>
        <v>4074</v>
      </c>
      <c r="E8">
        <f>3422-307</f>
        <v>3115</v>
      </c>
      <c r="F8">
        <f>487-36</f>
        <v>451</v>
      </c>
      <c r="G8">
        <f>36-19</f>
        <v>17</v>
      </c>
    </row>
    <row r="9" spans="1:7" x14ac:dyDescent="0.25">
      <c r="A9" t="s">
        <v>36</v>
      </c>
      <c r="B9">
        <f>SUM(B7:B8)</f>
        <v>-42292</v>
      </c>
      <c r="C9">
        <f t="shared" ref="C9:F11" si="1">SUM(C7:C8)</f>
        <v>-46180</v>
      </c>
      <c r="D9">
        <f t="shared" si="1"/>
        <v>-47919</v>
      </c>
      <c r="E9">
        <f t="shared" si="1"/>
        <v>-53036</v>
      </c>
      <c r="F9">
        <f t="shared" si="1"/>
        <v>-14041</v>
      </c>
      <c r="G9">
        <f>G7+G8</f>
        <v>-8212</v>
      </c>
    </row>
    <row r="11" spans="1:7" x14ac:dyDescent="0.25">
      <c r="A11" t="s">
        <v>36</v>
      </c>
      <c r="B11">
        <f>SUM(B9:B10)</f>
        <v>-42292</v>
      </c>
      <c r="C11">
        <f t="shared" si="1"/>
        <v>-46180</v>
      </c>
      <c r="D11">
        <f t="shared" si="1"/>
        <v>-47919</v>
      </c>
      <c r="E11">
        <f t="shared" si="1"/>
        <v>-53036</v>
      </c>
      <c r="F11">
        <f t="shared" si="1"/>
        <v>-14041</v>
      </c>
      <c r="G11">
        <v>-24320</v>
      </c>
    </row>
    <row r="12" spans="1:7" x14ac:dyDescent="0.25">
      <c r="A12" t="s">
        <v>38</v>
      </c>
      <c r="B12">
        <v>3958</v>
      </c>
      <c r="C12">
        <v>3631</v>
      </c>
      <c r="D12">
        <v>4622</v>
      </c>
      <c r="E12">
        <v>5348</v>
      </c>
      <c r="F12">
        <v>544</v>
      </c>
      <c r="G12">
        <v>882</v>
      </c>
    </row>
    <row r="13" spans="1:7" x14ac:dyDescent="0.25">
      <c r="A13" t="s">
        <v>39</v>
      </c>
      <c r="B13">
        <v>68</v>
      </c>
      <c r="C13">
        <v>74</v>
      </c>
      <c r="D13">
        <v>70</v>
      </c>
      <c r="E13">
        <v>46</v>
      </c>
      <c r="F13">
        <v>6</v>
      </c>
      <c r="G13">
        <v>16</v>
      </c>
    </row>
    <row r="14" spans="1:7" x14ac:dyDescent="0.25">
      <c r="A14" t="s">
        <v>21</v>
      </c>
      <c r="B14">
        <v>415</v>
      </c>
      <c r="C14">
        <v>-817</v>
      </c>
      <c r="D14">
        <v>-2636</v>
      </c>
      <c r="E14">
        <v>391</v>
      </c>
      <c r="F14">
        <v>492</v>
      </c>
      <c r="G14">
        <v>1606</v>
      </c>
    </row>
    <row r="15" spans="1:7" x14ac:dyDescent="0.25">
      <c r="A15" t="s">
        <v>40</v>
      </c>
      <c r="B15">
        <v>2304</v>
      </c>
      <c r="C15">
        <v>3587</v>
      </c>
      <c r="D15">
        <v>6255</v>
      </c>
      <c r="E15">
        <v>-2271</v>
      </c>
      <c r="F15">
        <v>140</v>
      </c>
      <c r="G15">
        <v>-4310</v>
      </c>
    </row>
    <row r="16" spans="1:7" x14ac:dyDescent="0.25">
      <c r="A16" t="s">
        <v>41</v>
      </c>
      <c r="B16">
        <f>121+313+197-805-156</f>
        <v>-330</v>
      </c>
      <c r="C16">
        <f>16+355-750+39+90-1397-331</f>
        <v>-1978</v>
      </c>
      <c r="D16">
        <f>-636+230+2+96+4911-176+1906</f>
        <v>6333</v>
      </c>
      <c r="E16">
        <f>247+2+494-2037-4911-237</f>
        <v>-6442</v>
      </c>
      <c r="F16">
        <f>65-158+584-359</f>
        <v>132</v>
      </c>
      <c r="G16">
        <f>199+91-518-517</f>
        <v>-745</v>
      </c>
    </row>
    <row r="17" spans="1:7" x14ac:dyDescent="0.25">
      <c r="A17" t="s">
        <v>42</v>
      </c>
      <c r="B17">
        <f>SUM(B11:B16)</f>
        <v>-35877</v>
      </c>
      <c r="C17">
        <f t="shared" ref="C17:F17" si="2">SUM(C11:C16)</f>
        <v>-41683</v>
      </c>
      <c r="D17">
        <f t="shared" si="2"/>
        <v>-33275</v>
      </c>
      <c r="E17">
        <f t="shared" si="2"/>
        <v>-55964</v>
      </c>
      <c r="F17">
        <f t="shared" si="2"/>
        <v>-12727</v>
      </c>
      <c r="G17" s="1">
        <f>SUM(G11:G16)</f>
        <v>-26871</v>
      </c>
    </row>
    <row r="20" spans="1:7" x14ac:dyDescent="0.25">
      <c r="A20" t="s">
        <v>4</v>
      </c>
      <c r="G20">
        <v>10669</v>
      </c>
    </row>
    <row r="21" spans="1:7" x14ac:dyDescent="0.25">
      <c r="A21" t="s">
        <v>21</v>
      </c>
      <c r="G21">
        <v>932</v>
      </c>
    </row>
    <row r="22" spans="1:7" x14ac:dyDescent="0.25">
      <c r="A22" t="s">
        <v>22</v>
      </c>
      <c r="G22">
        <f>2915+735+62</f>
        <v>3712</v>
      </c>
    </row>
    <row r="23" spans="1:7" x14ac:dyDescent="0.25">
      <c r="A23" t="s">
        <v>23</v>
      </c>
      <c r="G23">
        <f>SUM(G20:G22)</f>
        <v>15313</v>
      </c>
    </row>
    <row r="25" spans="1:7" x14ac:dyDescent="0.25">
      <c r="A25" t="s">
        <v>24</v>
      </c>
      <c r="G25">
        <v>1386</v>
      </c>
    </row>
    <row r="26" spans="1:7" x14ac:dyDescent="0.25">
      <c r="A26" t="s">
        <v>25</v>
      </c>
      <c r="G26">
        <v>7502</v>
      </c>
    </row>
    <row r="27" spans="1:7" x14ac:dyDescent="0.25">
      <c r="A27" t="s">
        <v>26</v>
      </c>
      <c r="G27">
        <v>539</v>
      </c>
    </row>
    <row r="28" spans="1:7" x14ac:dyDescent="0.25">
      <c r="A28" t="s">
        <v>27</v>
      </c>
      <c r="G28">
        <v>500</v>
      </c>
    </row>
    <row r="29" spans="1:7" x14ac:dyDescent="0.25">
      <c r="A29" t="s">
        <v>28</v>
      </c>
      <c r="G29">
        <f>SUM(G25:G28)</f>
        <v>9927</v>
      </c>
    </row>
    <row r="31" spans="1:7" x14ac:dyDescent="0.25">
      <c r="A31" t="s">
        <v>29</v>
      </c>
      <c r="G31" s="1">
        <f>G23-G29</f>
        <v>5386</v>
      </c>
    </row>
    <row r="33" spans="4:20" x14ac:dyDescent="0.25">
      <c r="J33">
        <v>2025</v>
      </c>
      <c r="K33">
        <f>J33+1</f>
        <v>2026</v>
      </c>
      <c r="L33">
        <f t="shared" ref="L33:Q33" si="3">K33+1</f>
        <v>2027</v>
      </c>
      <c r="M33">
        <f t="shared" si="3"/>
        <v>2028</v>
      </c>
      <c r="N33">
        <f t="shared" si="3"/>
        <v>2029</v>
      </c>
      <c r="O33">
        <f t="shared" si="3"/>
        <v>2030</v>
      </c>
      <c r="P33">
        <f t="shared" si="3"/>
        <v>2031</v>
      </c>
      <c r="Q33">
        <f t="shared" si="3"/>
        <v>2032</v>
      </c>
      <c r="R33">
        <f>Q33+1</f>
        <v>2033</v>
      </c>
      <c r="S33">
        <f>R33+1</f>
        <v>2034</v>
      </c>
      <c r="T33">
        <f t="shared" ref="T33:T34" si="4">S33+1</f>
        <v>2035</v>
      </c>
    </row>
    <row r="34" spans="4:20" x14ac:dyDescent="0.25">
      <c r="E34" t="s">
        <v>44</v>
      </c>
      <c r="F34" t="s">
        <v>45</v>
      </c>
      <c r="G34" t="s">
        <v>46</v>
      </c>
      <c r="I34" t="s">
        <v>47</v>
      </c>
      <c r="J34">
        <v>370</v>
      </c>
      <c r="K34">
        <f>J34+1</f>
        <v>371</v>
      </c>
      <c r="L34">
        <f t="shared" ref="L34:S34" si="5">K34+1</f>
        <v>372</v>
      </c>
      <c r="M34">
        <f t="shared" si="5"/>
        <v>373</v>
      </c>
      <c r="N34">
        <f t="shared" si="5"/>
        <v>374</v>
      </c>
      <c r="O34">
        <f t="shared" si="5"/>
        <v>375</v>
      </c>
      <c r="P34">
        <f t="shared" si="5"/>
        <v>376</v>
      </c>
      <c r="Q34">
        <f t="shared" si="5"/>
        <v>377</v>
      </c>
      <c r="R34">
        <f t="shared" si="5"/>
        <v>378</v>
      </c>
      <c r="S34">
        <f t="shared" si="5"/>
        <v>379</v>
      </c>
      <c r="T34">
        <f t="shared" si="4"/>
        <v>380</v>
      </c>
    </row>
    <row r="35" spans="4:20" x14ac:dyDescent="0.25">
      <c r="D35" s="1" t="s">
        <v>43</v>
      </c>
      <c r="E35">
        <f>1/285000</f>
        <v>3.5087719298245615E-6</v>
      </c>
      <c r="F35">
        <v>370</v>
      </c>
      <c r="G35">
        <v>33.33</v>
      </c>
      <c r="I35" t="s">
        <v>1</v>
      </c>
      <c r="J35">
        <v>1.2</v>
      </c>
      <c r="K35">
        <v>1.2</v>
      </c>
      <c r="L35">
        <v>1.2</v>
      </c>
      <c r="M35">
        <v>1.2</v>
      </c>
      <c r="N35">
        <v>1.2</v>
      </c>
      <c r="O35">
        <v>1.2</v>
      </c>
      <c r="P35">
        <v>1.2</v>
      </c>
      <c r="Q35">
        <v>1.2</v>
      </c>
      <c r="R35">
        <v>1.2</v>
      </c>
      <c r="S35">
        <v>1.2</v>
      </c>
      <c r="T35">
        <v>1.2</v>
      </c>
    </row>
    <row r="36" spans="4:20" x14ac:dyDescent="0.25">
      <c r="I36" t="s">
        <v>48</v>
      </c>
      <c r="J36">
        <f>J34*J37</f>
        <v>0</v>
      </c>
      <c r="K36">
        <f t="shared" ref="K36:T36" si="6">K34*K37</f>
        <v>3.71</v>
      </c>
      <c r="L36">
        <f t="shared" si="6"/>
        <v>111.6</v>
      </c>
      <c r="M36">
        <f t="shared" si="6"/>
        <v>130.54999999999998</v>
      </c>
      <c r="N36">
        <f t="shared" si="6"/>
        <v>149.6</v>
      </c>
      <c r="O36">
        <f t="shared" si="6"/>
        <v>168.75</v>
      </c>
      <c r="P36">
        <f t="shared" si="6"/>
        <v>188</v>
      </c>
      <c r="Q36">
        <f t="shared" si="6"/>
        <v>207.35000000000002</v>
      </c>
      <c r="R36">
        <f t="shared" si="6"/>
        <v>226.79999999999998</v>
      </c>
      <c r="S36">
        <f t="shared" si="6"/>
        <v>227.4</v>
      </c>
      <c r="T36">
        <f t="shared" si="6"/>
        <v>228</v>
      </c>
    </row>
    <row r="37" spans="4:20" x14ac:dyDescent="0.25">
      <c r="I37" t="s">
        <v>49</v>
      </c>
      <c r="J37">
        <v>0</v>
      </c>
      <c r="K37" s="2">
        <v>0.01</v>
      </c>
      <c r="L37" s="2">
        <v>0.3</v>
      </c>
      <c r="M37" s="2">
        <v>0.35</v>
      </c>
      <c r="N37" s="2">
        <v>0.4</v>
      </c>
      <c r="O37" s="2">
        <v>0.45</v>
      </c>
      <c r="P37" s="2">
        <v>0.5</v>
      </c>
      <c r="Q37" s="2">
        <v>0.55000000000000004</v>
      </c>
      <c r="R37" s="2">
        <v>0.6</v>
      </c>
      <c r="S37" s="2">
        <v>0.6</v>
      </c>
      <c r="T37" s="2">
        <v>0.6</v>
      </c>
    </row>
    <row r="38" spans="4:20" x14ac:dyDescent="0.25">
      <c r="I38" t="s">
        <v>30</v>
      </c>
      <c r="J38">
        <f>J35*J36</f>
        <v>0</v>
      </c>
      <c r="K38">
        <f t="shared" ref="K38:T38" si="7">K35*K36</f>
        <v>4.452</v>
      </c>
      <c r="L38">
        <f t="shared" si="7"/>
        <v>133.91999999999999</v>
      </c>
      <c r="M38">
        <f t="shared" si="7"/>
        <v>156.65999999999997</v>
      </c>
      <c r="N38">
        <f t="shared" si="7"/>
        <v>179.51999999999998</v>
      </c>
      <c r="O38">
        <f t="shared" si="7"/>
        <v>202.5</v>
      </c>
      <c r="P38">
        <f t="shared" si="7"/>
        <v>225.6</v>
      </c>
      <c r="Q38">
        <f t="shared" si="7"/>
        <v>248.82000000000002</v>
      </c>
      <c r="R38">
        <f t="shared" si="7"/>
        <v>272.15999999999997</v>
      </c>
      <c r="S38">
        <f t="shared" si="7"/>
        <v>272.88</v>
      </c>
      <c r="T38">
        <f t="shared" si="7"/>
        <v>273.59999999999997</v>
      </c>
    </row>
    <row r="39" spans="4:20" x14ac:dyDescent="0.25">
      <c r="I39" t="s">
        <v>50</v>
      </c>
      <c r="J39" s="3" t="s">
        <v>11</v>
      </c>
      <c r="K39">
        <v>0</v>
      </c>
      <c r="L39">
        <v>12</v>
      </c>
      <c r="M39">
        <v>16</v>
      </c>
      <c r="N39">
        <v>21</v>
      </c>
      <c r="O39">
        <v>26</v>
      </c>
      <c r="P39">
        <v>29</v>
      </c>
      <c r="Q39">
        <v>34</v>
      </c>
      <c r="R39">
        <v>36</v>
      </c>
      <c r="S39">
        <v>40</v>
      </c>
      <c r="T39">
        <v>40</v>
      </c>
    </row>
    <row r="40" spans="4:20" x14ac:dyDescent="0.25">
      <c r="I40" t="s">
        <v>51</v>
      </c>
      <c r="J40" s="3" t="s">
        <v>11</v>
      </c>
      <c r="K40">
        <f>K38-K39</f>
        <v>4.452</v>
      </c>
      <c r="L40">
        <f t="shared" ref="L40:T40" si="8">L38-L39</f>
        <v>121.91999999999999</v>
      </c>
      <c r="M40">
        <f t="shared" si="8"/>
        <v>140.65999999999997</v>
      </c>
      <c r="N40">
        <f t="shared" si="8"/>
        <v>158.51999999999998</v>
      </c>
      <c r="O40">
        <f t="shared" si="8"/>
        <v>176.5</v>
      </c>
      <c r="P40">
        <f t="shared" si="8"/>
        <v>196.6</v>
      </c>
      <c r="Q40">
        <f t="shared" si="8"/>
        <v>214.82000000000002</v>
      </c>
      <c r="R40">
        <f t="shared" si="8"/>
        <v>236.15999999999997</v>
      </c>
      <c r="S40">
        <f t="shared" si="8"/>
        <v>232.88</v>
      </c>
      <c r="T40">
        <f t="shared" si="8"/>
        <v>233.59999999999997</v>
      </c>
    </row>
    <row r="41" spans="4:20" x14ac:dyDescent="0.25">
      <c r="I41" t="s">
        <v>52</v>
      </c>
      <c r="J41" s="3" t="s">
        <v>11</v>
      </c>
      <c r="K41">
        <v>65</v>
      </c>
      <c r="L41">
        <v>65</v>
      </c>
      <c r="M41">
        <v>65</v>
      </c>
      <c r="N41">
        <v>65</v>
      </c>
      <c r="O41">
        <v>65</v>
      </c>
      <c r="P41">
        <v>65</v>
      </c>
      <c r="Q41">
        <v>65</v>
      </c>
      <c r="R41">
        <v>65</v>
      </c>
      <c r="S41">
        <v>65</v>
      </c>
      <c r="T41">
        <v>65</v>
      </c>
    </row>
    <row r="42" spans="4:20" x14ac:dyDescent="0.25">
      <c r="I42" t="s">
        <v>53</v>
      </c>
      <c r="J42" s="3" t="s">
        <v>11</v>
      </c>
      <c r="K42">
        <v>0</v>
      </c>
      <c r="L42">
        <f>0.12*L38</f>
        <v>16.070399999999999</v>
      </c>
      <c r="M42">
        <f t="shared" ref="M42:T42" si="9">0.12*M38</f>
        <v>18.799199999999995</v>
      </c>
      <c r="N42">
        <f t="shared" si="9"/>
        <v>21.542399999999997</v>
      </c>
      <c r="O42">
        <f t="shared" si="9"/>
        <v>24.3</v>
      </c>
      <c r="P42">
        <f t="shared" si="9"/>
        <v>27.071999999999999</v>
      </c>
      <c r="Q42">
        <f t="shared" si="9"/>
        <v>29.858400000000003</v>
      </c>
      <c r="R42">
        <f t="shared" si="9"/>
        <v>32.659199999999998</v>
      </c>
      <c r="S42">
        <f t="shared" si="9"/>
        <v>32.745599999999996</v>
      </c>
      <c r="T42">
        <f t="shared" si="9"/>
        <v>32.831999999999994</v>
      </c>
    </row>
    <row r="43" spans="4:20" x14ac:dyDescent="0.25">
      <c r="I43" t="s">
        <v>36</v>
      </c>
      <c r="J43" s="3" t="s">
        <v>11</v>
      </c>
      <c r="K43">
        <f>K40-K41-K42</f>
        <v>-60.548000000000002</v>
      </c>
      <c r="L43">
        <f t="shared" ref="L43:T43" si="10">L40-L41-L42</f>
        <v>40.849599999999988</v>
      </c>
      <c r="M43">
        <f t="shared" si="10"/>
        <v>56.860799999999969</v>
      </c>
      <c r="N43">
        <f t="shared" si="10"/>
        <v>71.977599999999981</v>
      </c>
      <c r="O43">
        <f t="shared" si="10"/>
        <v>87.2</v>
      </c>
      <c r="P43">
        <f t="shared" si="10"/>
        <v>104.52799999999999</v>
      </c>
      <c r="Q43">
        <f t="shared" si="10"/>
        <v>119.96160000000002</v>
      </c>
      <c r="R43">
        <f t="shared" si="10"/>
        <v>138.50079999999997</v>
      </c>
      <c r="S43">
        <f t="shared" si="10"/>
        <v>135.1344</v>
      </c>
      <c r="T43">
        <f t="shared" si="10"/>
        <v>135.76799999999997</v>
      </c>
    </row>
    <row r="44" spans="4:20" x14ac:dyDescent="0.25">
      <c r="J44" s="3"/>
    </row>
    <row r="46" spans="4:20" x14ac:dyDescent="0.25">
      <c r="I46" t="s">
        <v>54</v>
      </c>
      <c r="J46" s="2">
        <v>0.08</v>
      </c>
    </row>
    <row r="47" spans="4:20" x14ac:dyDescent="0.25">
      <c r="I47" t="s">
        <v>55</v>
      </c>
      <c r="J47" s="4">
        <f>NPV(J46,K43:T43)</f>
        <v>477.53164310697883</v>
      </c>
    </row>
    <row r="48" spans="4:20" x14ac:dyDescent="0.25">
      <c r="I48" t="s">
        <v>2</v>
      </c>
      <c r="J48">
        <v>1070370</v>
      </c>
    </row>
    <row r="49" spans="9:10" x14ac:dyDescent="0.25">
      <c r="I49" t="s">
        <v>56</v>
      </c>
      <c r="J49" s="4">
        <f>J47*10^6/J48</f>
        <v>446.13698357295033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D765-5111-42D0-9418-8654A760CAEC}">
  <dimension ref="A2:H15"/>
  <sheetViews>
    <sheetView tabSelected="1" workbookViewId="0">
      <selection activeCell="E21" sqref="E21"/>
    </sheetView>
  </sheetViews>
  <sheetFormatPr defaultRowHeight="15" x14ac:dyDescent="0.25"/>
  <cols>
    <col min="5" max="5" width="10" bestFit="1" customWidth="1"/>
  </cols>
  <sheetData>
    <row r="2" spans="1:8" x14ac:dyDescent="0.25">
      <c r="A2" s="1" t="s">
        <v>14</v>
      </c>
      <c r="G2" s="1" t="s">
        <v>15</v>
      </c>
    </row>
    <row r="3" spans="1:8" x14ac:dyDescent="0.25">
      <c r="B3" t="s">
        <v>13</v>
      </c>
      <c r="H3" t="s">
        <v>16</v>
      </c>
    </row>
    <row r="4" spans="1:8" x14ac:dyDescent="0.25">
      <c r="B4" t="s">
        <v>12</v>
      </c>
      <c r="H4" t="s">
        <v>17</v>
      </c>
    </row>
    <row r="7" spans="1:8" x14ac:dyDescent="0.25">
      <c r="A7" s="1" t="s">
        <v>18</v>
      </c>
    </row>
    <row r="8" spans="1:8" x14ac:dyDescent="0.25">
      <c r="B8" t="s">
        <v>19</v>
      </c>
    </row>
    <row r="9" spans="1:8" x14ac:dyDescent="0.25">
      <c r="B9" t="s">
        <v>20</v>
      </c>
    </row>
    <row r="13" spans="1:8" x14ac:dyDescent="0.25">
      <c r="E13" s="1"/>
    </row>
    <row r="15" spans="1:8" x14ac:dyDescent="0.25"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2025-12-08T15:54:48Z</dcterms:created>
  <dcterms:modified xsi:type="dcterms:W3CDTF">2025-12-09T20:35:42Z</dcterms:modified>
</cp:coreProperties>
</file>