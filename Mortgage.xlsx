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a48c2ccd1c7ddf/Documents/"/>
    </mc:Choice>
  </mc:AlternateContent>
  <xr:revisionPtr revIDLastSave="133" documentId="8_{EA5532FA-286E-4AB8-999A-788CD669A5E4}" xr6:coauthVersionLast="47" xr6:coauthVersionMax="47" xr10:uidLastSave="{6D0101E8-E96A-413F-A232-38137866E4BA}"/>
  <bookViews>
    <workbookView xWindow="8370" yWindow="4680" windowWidth="18975" windowHeight="12210" xr2:uid="{CD32D727-7355-4D5F-A168-B399EC2E9A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C7" i="1"/>
  <c r="C5" i="1"/>
  <c r="C20" i="1" s="1"/>
  <c r="C11" i="1" l="1"/>
  <c r="C12" i="1" s="1"/>
  <c r="C14" i="1" s="1"/>
  <c r="C18" i="1" l="1"/>
  <c r="C19" i="1" s="1"/>
  <c r="C21" i="1" s="1"/>
  <c r="C13" i="1"/>
</calcChain>
</file>

<file path=xl/sharedStrings.xml><?xml version="1.0" encoding="utf-8"?>
<sst xmlns="http://schemas.openxmlformats.org/spreadsheetml/2006/main" count="50" uniqueCount="24">
  <si>
    <t>Rate:</t>
  </si>
  <si>
    <t>Price</t>
  </si>
  <si>
    <t xml:space="preserve">Paid </t>
  </si>
  <si>
    <t>Time</t>
  </si>
  <si>
    <t>Years</t>
  </si>
  <si>
    <t>Months</t>
  </si>
  <si>
    <t>Per Mon</t>
  </si>
  <si>
    <t>Principal</t>
  </si>
  <si>
    <t>PMT:</t>
  </si>
  <si>
    <t>Rate®</t>
  </si>
  <si>
    <t>Per mon</t>
  </si>
  <si>
    <t>Value</t>
  </si>
  <si>
    <t>Paying In excess:</t>
  </si>
  <si>
    <t>monthly</t>
  </si>
  <si>
    <t>Insurance</t>
  </si>
  <si>
    <t>Maintenance:</t>
  </si>
  <si>
    <t>Monthly</t>
  </si>
  <si>
    <t>per person</t>
  </si>
  <si>
    <t>Tax:</t>
  </si>
  <si>
    <t>per month in equity</t>
  </si>
  <si>
    <t>In premium.</t>
  </si>
  <si>
    <t xml:space="preserve">so essentially you are gaining equity, and you are paying a pretty good rent rate. This is a good decision </t>
  </si>
  <si>
    <t>so you are obtaining:</t>
  </si>
  <si>
    <t>And: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</si>
</sst>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602193</xdr:colOff>
      <xdr:row>3</xdr:row>
      <xdr:rowOff>176371</xdr:rowOff>
    </xdr:from>
    <xdr:to>
      <xdr:col>8</xdr:col>
      <xdr:colOff>160759</xdr:colOff>
      <xdr:row>9</xdr:row>
      <xdr:rowOff>141735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2E0FA7-6A4B-9CDC-3F54-4EC86EA50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17546" y="747871"/>
          <a:ext cx="2584154" cy="110836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4E6CB-607E-41D3-A5C9-257B733DA1B7}">
  <dimension ref="A3:R23"/>
  <sheetViews>
    <sheetView tabSelected="1" zoomScale="85" zoomScaleNormal="85" workbookViewId="0">
      <selection activeCell="O4" sqref="O4"/>
    </sheetView>
  </sheetViews>
  <sheetFormatPr defaultRowHeight="15" x14ac:dyDescent="0.25"/>
  <sheetData>
    <row r="3" spans="1:18" x14ac:dyDescent="0.25">
      <c r="B3" t="s">
        <v>1</v>
      </c>
      <c r="C3">
        <v>250000</v>
      </c>
      <c r="E3" t="s">
        <v>0</v>
      </c>
      <c r="F3" s="1">
        <v>0.08</v>
      </c>
      <c r="N3" t="s">
        <v>1</v>
      </c>
      <c r="O3">
        <v>280000</v>
      </c>
      <c r="Q3" t="s">
        <v>0</v>
      </c>
      <c r="R3">
        <v>3.875</v>
      </c>
    </row>
    <row r="4" spans="1:18" x14ac:dyDescent="0.25">
      <c r="B4" t="s">
        <v>2</v>
      </c>
      <c r="C4">
        <v>80000</v>
      </c>
      <c r="N4" t="s">
        <v>2</v>
      </c>
    </row>
    <row r="5" spans="1:18" x14ac:dyDescent="0.25">
      <c r="B5" t="s">
        <v>7</v>
      </c>
      <c r="C5">
        <f>C3-C4</f>
        <v>170000</v>
      </c>
      <c r="N5" t="s">
        <v>7</v>
      </c>
    </row>
    <row r="6" spans="1:18" x14ac:dyDescent="0.25">
      <c r="B6" t="s">
        <v>3</v>
      </c>
      <c r="C6">
        <v>30</v>
      </c>
      <c r="D6" t="s">
        <v>4</v>
      </c>
      <c r="N6" t="s">
        <v>3</v>
      </c>
      <c r="P6" t="s">
        <v>4</v>
      </c>
    </row>
    <row r="7" spans="1:18" x14ac:dyDescent="0.25">
      <c r="B7" t="s">
        <v>3</v>
      </c>
      <c r="C7">
        <f>12*C6</f>
        <v>360</v>
      </c>
      <c r="D7" t="s">
        <v>5</v>
      </c>
      <c r="N7" t="s">
        <v>3</v>
      </c>
      <c r="P7" t="s">
        <v>5</v>
      </c>
    </row>
    <row r="8" spans="1:18" x14ac:dyDescent="0.25">
      <c r="B8" t="s">
        <v>9</v>
      </c>
      <c r="C8">
        <f>F3/12</f>
        <v>6.6666666666666671E-3</v>
      </c>
      <c r="D8" t="s">
        <v>6</v>
      </c>
      <c r="N8" t="s">
        <v>9</v>
      </c>
      <c r="P8" t="s">
        <v>6</v>
      </c>
    </row>
    <row r="11" spans="1:18" x14ac:dyDescent="0.25">
      <c r="B11" s="2" t="s">
        <v>8</v>
      </c>
      <c r="C11">
        <f>(C5*C8*(1+C8)^C7)/((1+C8)^C7-1)</f>
        <v>1247.3997755949422</v>
      </c>
      <c r="D11" t="s">
        <v>10</v>
      </c>
      <c r="N11" s="2" t="s">
        <v>8</v>
      </c>
      <c r="P11" t="s">
        <v>10</v>
      </c>
    </row>
    <row r="12" spans="1:18" x14ac:dyDescent="0.25">
      <c r="B12" t="s">
        <v>11</v>
      </c>
      <c r="C12">
        <f>C11*360</f>
        <v>449063.91921417916</v>
      </c>
      <c r="N12" t="s">
        <v>11</v>
      </c>
    </row>
    <row r="13" spans="1:18" x14ac:dyDescent="0.25">
      <c r="A13" t="s">
        <v>12</v>
      </c>
      <c r="C13">
        <f>C12-C3+C4</f>
        <v>279063.91921417916</v>
      </c>
      <c r="M13" t="s">
        <v>12</v>
      </c>
    </row>
    <row r="14" spans="1:18" x14ac:dyDescent="0.25">
      <c r="C14" s="2">
        <f>C12/360</f>
        <v>1247.3997755949422</v>
      </c>
      <c r="D14" t="s">
        <v>13</v>
      </c>
      <c r="O14" s="2"/>
      <c r="P14" t="s">
        <v>13</v>
      </c>
    </row>
    <row r="15" spans="1:18" x14ac:dyDescent="0.25">
      <c r="B15" t="s">
        <v>14</v>
      </c>
      <c r="C15">
        <v>120</v>
      </c>
      <c r="N15" t="s">
        <v>14</v>
      </c>
    </row>
    <row r="16" spans="1:18" x14ac:dyDescent="0.25">
      <c r="A16" t="s">
        <v>15</v>
      </c>
      <c r="C16">
        <v>200</v>
      </c>
      <c r="M16" t="s">
        <v>15</v>
      </c>
    </row>
    <row r="17" spans="1:16" x14ac:dyDescent="0.25">
      <c r="B17" t="s">
        <v>18</v>
      </c>
      <c r="C17">
        <v>250</v>
      </c>
      <c r="N17" t="s">
        <v>18</v>
      </c>
    </row>
    <row r="18" spans="1:16" x14ac:dyDescent="0.25">
      <c r="C18" s="2">
        <f>SUM(C14:C17)</f>
        <v>1817.3997755949422</v>
      </c>
      <c r="D18" t="s">
        <v>16</v>
      </c>
      <c r="O18" s="2"/>
      <c r="P18" t="s">
        <v>16</v>
      </c>
    </row>
    <row r="19" spans="1:16" x14ac:dyDescent="0.25">
      <c r="C19">
        <f>C18/2</f>
        <v>908.69988779747109</v>
      </c>
      <c r="D19" t="s">
        <v>17</v>
      </c>
      <c r="P19" t="s">
        <v>17</v>
      </c>
    </row>
    <row r="20" spans="1:16" x14ac:dyDescent="0.25">
      <c r="A20" t="s">
        <v>22</v>
      </c>
      <c r="C20" s="2">
        <f>C5/360/2</f>
        <v>236.11111111111111</v>
      </c>
      <c r="D20" t="s">
        <v>19</v>
      </c>
      <c r="M20" t="s">
        <v>22</v>
      </c>
      <c r="O20" s="2"/>
      <c r="P20" t="s">
        <v>19</v>
      </c>
    </row>
    <row r="21" spans="1:16" x14ac:dyDescent="0.25">
      <c r="B21" t="s">
        <v>23</v>
      </c>
      <c r="C21" s="2">
        <f>C19-C20</f>
        <v>672.58877668636001</v>
      </c>
      <c r="D21" t="s">
        <v>20</v>
      </c>
      <c r="N21" t="s">
        <v>23</v>
      </c>
      <c r="O21" s="2"/>
      <c r="P21" t="s">
        <v>20</v>
      </c>
    </row>
    <row r="23" spans="1:16" x14ac:dyDescent="0.25">
      <c r="B23" t="s">
        <v>21</v>
      </c>
      <c r="N23" t="s">
        <v>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BurgShot Homie</dc:creator>
  <cp:lastModifiedBy>BurgShot Homie</cp:lastModifiedBy>
  <dcterms:created xsi:type="dcterms:W3CDTF">2025-12-02T01:36:26Z</dcterms:created>
  <dcterms:modified xsi:type="dcterms:W3CDTF">2025-12-02T19:56:19Z</dcterms:modified>
</cp:coreProperties>
</file>