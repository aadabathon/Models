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5A48C2CCD1C7DDF/Documents/"/>
    </mc:Choice>
  </mc:AlternateContent>
  <xr:revisionPtr revIDLastSave="4031" documentId="8_{37204A44-9DD0-4B07-9796-0003515CE8DB}" xr6:coauthVersionLast="47" xr6:coauthVersionMax="47" xr10:uidLastSave="{CA157084-F871-492A-9EE6-5D35430EB30D}"/>
  <bookViews>
    <workbookView xWindow="-19395" yWindow="4050" windowWidth="18975" windowHeight="12210" xr2:uid="{D6CC4ADD-FA92-46E6-940A-80EB5DA3D9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4" i="1" l="1"/>
  <c r="J174" i="1"/>
  <c r="I175" i="1"/>
  <c r="J175" i="1"/>
  <c r="I176" i="1"/>
  <c r="J176" i="1"/>
  <c r="I177" i="1"/>
  <c r="J177" i="1"/>
  <c r="H177" i="1"/>
  <c r="H176" i="1"/>
  <c r="H175" i="1"/>
  <c r="H174" i="1"/>
  <c r="G175" i="1"/>
  <c r="G176" i="1"/>
  <c r="G177" i="1"/>
  <c r="E177" i="1"/>
  <c r="E175" i="1"/>
  <c r="E174" i="1"/>
  <c r="E176" i="1"/>
  <c r="J170" i="1" l="1"/>
  <c r="J171" i="1"/>
  <c r="J172" i="1"/>
  <c r="J173" i="1"/>
  <c r="I171" i="1"/>
  <c r="I172" i="1"/>
  <c r="I173" i="1"/>
  <c r="H173" i="1"/>
  <c r="H172" i="1"/>
  <c r="H171" i="1"/>
  <c r="H170" i="1"/>
  <c r="I170" i="1"/>
  <c r="G173" i="1"/>
  <c r="G172" i="1"/>
  <c r="G171" i="1"/>
  <c r="E173" i="1"/>
  <c r="E172" i="1"/>
  <c r="E170" i="1"/>
  <c r="I169" i="1"/>
  <c r="H169" i="1"/>
  <c r="J169" i="1"/>
  <c r="I168" i="1"/>
  <c r="H168" i="1"/>
  <c r="J168" i="1"/>
  <c r="I167" i="1"/>
  <c r="J167" i="1"/>
  <c r="I166" i="1"/>
  <c r="J166" i="1"/>
  <c r="G166" i="1"/>
  <c r="I163" i="1"/>
  <c r="J163" i="1"/>
  <c r="I164" i="1"/>
  <c r="J164" i="1"/>
  <c r="I165" i="1"/>
  <c r="J165" i="1"/>
  <c r="H164" i="1"/>
  <c r="E165" i="1"/>
  <c r="I161" i="1"/>
  <c r="J161" i="1"/>
  <c r="I162" i="1"/>
  <c r="J162" i="1"/>
  <c r="H162" i="1"/>
  <c r="H161" i="1"/>
  <c r="E162" i="1"/>
  <c r="E161" i="1"/>
  <c r="I160" i="1"/>
  <c r="J160" i="1"/>
  <c r="I159" i="1"/>
  <c r="J159" i="1"/>
  <c r="I158" i="1"/>
  <c r="H160" i="1"/>
  <c r="H159" i="1"/>
  <c r="G160" i="1"/>
  <c r="E159" i="1"/>
  <c r="E160" i="1"/>
  <c r="H158" i="1"/>
  <c r="G158" i="1"/>
  <c r="J158" i="1" s="1"/>
  <c r="E156" i="1"/>
  <c r="E154" i="1"/>
  <c r="J154" i="1" s="1"/>
  <c r="E155" i="1"/>
  <c r="J155" i="1" s="1"/>
  <c r="I154" i="1"/>
  <c r="I155" i="1"/>
  <c r="I156" i="1"/>
  <c r="J156" i="1"/>
  <c r="I157" i="1"/>
  <c r="J157" i="1"/>
  <c r="H157" i="1"/>
  <c r="G157" i="1"/>
  <c r="I152" i="1"/>
  <c r="J152" i="1"/>
  <c r="I153" i="1"/>
  <c r="J153" i="1"/>
  <c r="H152" i="1"/>
  <c r="H153" i="1"/>
  <c r="E152" i="1"/>
  <c r="E153" i="1"/>
  <c r="H149" i="1"/>
  <c r="H148" i="1"/>
  <c r="H147" i="1"/>
  <c r="H146" i="1"/>
  <c r="G151" i="1"/>
  <c r="I151" i="1" s="1"/>
  <c r="E151" i="1"/>
  <c r="J151" i="1" s="1"/>
  <c r="H150" i="1" l="1"/>
  <c r="I150" i="1" s="1"/>
  <c r="G150" i="1"/>
  <c r="E150" i="1"/>
  <c r="J150" i="1" s="1"/>
  <c r="G149" i="1"/>
  <c r="I149" i="1" s="1"/>
  <c r="G148" i="1"/>
  <c r="I148" i="1" s="1"/>
  <c r="G147" i="1"/>
  <c r="I147" i="1" s="1"/>
  <c r="G146" i="1"/>
  <c r="I146" i="1" s="1"/>
  <c r="E148" i="1"/>
  <c r="J148" i="1" s="1"/>
  <c r="E149" i="1"/>
  <c r="J149" i="1" s="1"/>
  <c r="E147" i="1"/>
  <c r="J147" i="1" s="1"/>
  <c r="E146" i="1"/>
  <c r="J146" i="1" s="1"/>
  <c r="I144" i="1"/>
  <c r="J144" i="1"/>
  <c r="H143" i="1"/>
  <c r="G145" i="1"/>
  <c r="I145" i="1" s="1"/>
  <c r="G143" i="1"/>
  <c r="E145" i="1"/>
  <c r="J145" i="1" s="1"/>
  <c r="E143" i="1"/>
  <c r="J143" i="1" s="1"/>
  <c r="I143" i="1" l="1"/>
  <c r="H142" i="1"/>
  <c r="G142" i="1"/>
  <c r="J142" i="1" s="1"/>
  <c r="H140" i="1"/>
  <c r="G141" i="1"/>
  <c r="I141" i="1" s="1"/>
  <c r="G140" i="1"/>
  <c r="G139" i="1"/>
  <c r="I139" i="1" s="1"/>
  <c r="E139" i="1"/>
  <c r="J139" i="1" s="1"/>
  <c r="E141" i="1"/>
  <c r="J141" i="1" s="1"/>
  <c r="E140" i="1"/>
  <c r="J140" i="1" s="1"/>
  <c r="H137" i="1"/>
  <c r="H138" i="1"/>
  <c r="I138" i="1" s="1"/>
  <c r="G138" i="1"/>
  <c r="G137" i="1"/>
  <c r="G136" i="1"/>
  <c r="I136" i="1" s="1"/>
  <c r="E138" i="1"/>
  <c r="J138" i="1" s="1"/>
  <c r="E137" i="1"/>
  <c r="J137" i="1" s="1"/>
  <c r="E136" i="1"/>
  <c r="J136" i="1" s="1"/>
  <c r="I134" i="1"/>
  <c r="H135" i="1"/>
  <c r="I135" i="1" s="1"/>
  <c r="E135" i="1"/>
  <c r="J135" i="1" s="1"/>
  <c r="E134" i="1"/>
  <c r="J134" i="1" s="1"/>
  <c r="H132" i="1"/>
  <c r="I132" i="1" s="1"/>
  <c r="G133" i="1"/>
  <c r="I133" i="1" s="1"/>
  <c r="E132" i="1"/>
  <c r="J132" i="1" s="1"/>
  <c r="E133" i="1"/>
  <c r="E127" i="1"/>
  <c r="J127" i="1" s="1"/>
  <c r="E129" i="1"/>
  <c r="J129" i="1" s="1"/>
  <c r="H130" i="1"/>
  <c r="H131" i="1"/>
  <c r="G131" i="1"/>
  <c r="J131" i="1" s="1"/>
  <c r="G130" i="1"/>
  <c r="E130" i="1"/>
  <c r="J130" i="1" s="1"/>
  <c r="I129" i="1"/>
  <c r="H128" i="1"/>
  <c r="G128" i="1"/>
  <c r="J128" i="1" s="1"/>
  <c r="I127" i="1"/>
  <c r="J125" i="1"/>
  <c r="J126" i="1"/>
  <c r="H126" i="1"/>
  <c r="I126" i="1" s="1"/>
  <c r="H125" i="1"/>
  <c r="I125" i="1" s="1"/>
  <c r="J133" i="1" l="1"/>
  <c r="I128" i="1"/>
  <c r="I137" i="1"/>
  <c r="I131" i="1"/>
  <c r="I130" i="1"/>
  <c r="I140" i="1"/>
  <c r="I142" i="1"/>
  <c r="H123" i="1"/>
  <c r="I123" i="1" s="1"/>
  <c r="H124" i="1"/>
  <c r="I124" i="1" s="1"/>
  <c r="E124" i="1"/>
  <c r="J124" i="1" s="1"/>
  <c r="J123" i="1"/>
  <c r="I122" i="1"/>
  <c r="J122" i="1"/>
  <c r="G121" i="1"/>
  <c r="I121" i="1" s="1"/>
  <c r="H120" i="1"/>
  <c r="I120" i="1" s="1"/>
  <c r="H119" i="1"/>
  <c r="I119" i="1" s="1"/>
  <c r="E120" i="1"/>
  <c r="E119" i="1"/>
  <c r="J119" i="1" s="1"/>
  <c r="J120" i="1"/>
  <c r="J118" i="1"/>
  <c r="I118" i="1"/>
  <c r="H117" i="1"/>
  <c r="G117" i="1"/>
  <c r="E117" i="1"/>
  <c r="J117" i="1" s="1"/>
  <c r="H116" i="1"/>
  <c r="I116" i="1" s="1"/>
  <c r="J116" i="1"/>
  <c r="H115" i="1"/>
  <c r="I115" i="1" s="1"/>
  <c r="H114" i="1"/>
  <c r="I114" i="1" s="1"/>
  <c r="J115" i="1"/>
  <c r="J114" i="1"/>
  <c r="J113" i="1"/>
  <c r="I113" i="1"/>
  <c r="I112" i="1"/>
  <c r="J112" i="1"/>
  <c r="I117" i="1" l="1"/>
  <c r="J121" i="1"/>
  <c r="H111" i="1"/>
  <c r="G111" i="1"/>
  <c r="E111" i="1"/>
  <c r="J111" i="1" s="1"/>
  <c r="G110" i="1"/>
  <c r="H110" i="1"/>
  <c r="I110" i="1" s="1"/>
  <c r="J110" i="1"/>
  <c r="I109" i="1"/>
  <c r="J109" i="1"/>
  <c r="E86" i="1"/>
  <c r="H108" i="1"/>
  <c r="I108" i="1" s="1"/>
  <c r="E108" i="1"/>
  <c r="J108" i="1" s="1"/>
  <c r="G107" i="1"/>
  <c r="J107" i="1"/>
  <c r="H107" i="1"/>
  <c r="H106" i="1"/>
  <c r="I106" i="1" s="1"/>
  <c r="E106" i="1"/>
  <c r="J106" i="1" s="1"/>
  <c r="H105" i="1"/>
  <c r="I105" i="1" s="1"/>
  <c r="E105" i="1"/>
  <c r="J105" i="1" s="1"/>
  <c r="H104" i="1"/>
  <c r="I104" i="1" s="1"/>
  <c r="E104" i="1"/>
  <c r="J104" i="1" s="1"/>
  <c r="I101" i="1"/>
  <c r="J101" i="1"/>
  <c r="I102" i="1"/>
  <c r="I103" i="1"/>
  <c r="E103" i="1"/>
  <c r="J103" i="1" s="1"/>
  <c r="E102" i="1"/>
  <c r="J102" i="1" s="1"/>
  <c r="J99" i="1"/>
  <c r="H99" i="1"/>
  <c r="I99" i="1" s="1"/>
  <c r="H100" i="1"/>
  <c r="I100" i="1" s="1"/>
  <c r="E100" i="1"/>
  <c r="J100" i="1" s="1"/>
  <c r="J98" i="1"/>
  <c r="H98" i="1"/>
  <c r="I98" i="1" s="1"/>
  <c r="I96" i="1"/>
  <c r="I97" i="1"/>
  <c r="E97" i="1"/>
  <c r="J97" i="1" s="1"/>
  <c r="E96" i="1"/>
  <c r="J96" i="1" s="1"/>
  <c r="E94" i="1"/>
  <c r="I111" i="1" l="1"/>
  <c r="I107" i="1"/>
  <c r="J93" i="1"/>
  <c r="H93" i="1"/>
  <c r="I93" i="1" s="1"/>
  <c r="G92" i="1" l="1"/>
  <c r="I92" i="1" s="1"/>
  <c r="E90" i="1"/>
  <c r="E91" i="1"/>
  <c r="J91" i="1" s="1"/>
  <c r="J90" i="1"/>
  <c r="H91" i="1"/>
  <c r="I91" i="1" s="1"/>
  <c r="H90" i="1"/>
  <c r="I90" i="1" s="1"/>
  <c r="J92" i="1" l="1"/>
  <c r="I89" i="1"/>
  <c r="E89" i="1"/>
  <c r="J89" i="1" s="1"/>
  <c r="H88" i="1"/>
  <c r="H87" i="1"/>
  <c r="I87" i="1" s="1"/>
  <c r="G88" i="1"/>
  <c r="E88" i="1"/>
  <c r="E87" i="1"/>
  <c r="J87" i="1" s="1"/>
  <c r="I84" i="1"/>
  <c r="G86" i="1"/>
  <c r="I86" i="1" s="1"/>
  <c r="G85" i="1"/>
  <c r="I85" i="1" s="1"/>
  <c r="J86" i="1"/>
  <c r="E85" i="1"/>
  <c r="J85" i="1" s="1"/>
  <c r="E84" i="1"/>
  <c r="J84" i="1" s="1"/>
  <c r="H83" i="1"/>
  <c r="I83" i="1" s="1"/>
  <c r="E83" i="1"/>
  <c r="J83" i="1" s="1"/>
  <c r="H81" i="1"/>
  <c r="G82" i="1"/>
  <c r="I82" i="1" s="1"/>
  <c r="G81" i="1"/>
  <c r="E82" i="1"/>
  <c r="J82" i="1" s="1"/>
  <c r="E81" i="1"/>
  <c r="I79" i="1"/>
  <c r="I80" i="1"/>
  <c r="H77" i="1"/>
  <c r="I77" i="1" s="1"/>
  <c r="G78" i="1"/>
  <c r="I78" i="1" s="1"/>
  <c r="E78" i="1"/>
  <c r="J78" i="1" s="1"/>
  <c r="E80" i="1"/>
  <c r="J80" i="1" s="1"/>
  <c r="E79" i="1"/>
  <c r="J79" i="1" s="1"/>
  <c r="E77" i="1"/>
  <c r="J77" i="1" s="1"/>
  <c r="I72" i="1"/>
  <c r="G76" i="1"/>
  <c r="I76" i="1" s="1"/>
  <c r="G75" i="1"/>
  <c r="I75" i="1" s="1"/>
  <c r="G74" i="1"/>
  <c r="I74" i="1" s="1"/>
  <c r="G73" i="1"/>
  <c r="I73" i="1" s="1"/>
  <c r="G71" i="1"/>
  <c r="I71" i="1" s="1"/>
  <c r="E76" i="1"/>
  <c r="E75" i="1"/>
  <c r="E74" i="1"/>
  <c r="E73" i="1"/>
  <c r="E72" i="1"/>
  <c r="J72" i="1" s="1"/>
  <c r="I70" i="1"/>
  <c r="H68" i="1"/>
  <c r="G69" i="1"/>
  <c r="I69" i="1" s="1"/>
  <c r="G68" i="1"/>
  <c r="E70" i="1"/>
  <c r="J70" i="1" s="1"/>
  <c r="E69" i="1"/>
  <c r="E68" i="1"/>
  <c r="I67" i="1"/>
  <c r="I66" i="1"/>
  <c r="E67" i="1"/>
  <c r="J67" i="1" s="1"/>
  <c r="E66" i="1"/>
  <c r="J66" i="1" s="1"/>
  <c r="I64" i="1"/>
  <c r="I65" i="1"/>
  <c r="G63" i="1"/>
  <c r="J63" i="1" s="1"/>
  <c r="E65" i="1"/>
  <c r="J65" i="1" s="1"/>
  <c r="E64" i="1"/>
  <c r="J64" i="1" s="1"/>
  <c r="I59" i="1"/>
  <c r="I60" i="1"/>
  <c r="I61" i="1"/>
  <c r="I62" i="1"/>
  <c r="E61" i="1"/>
  <c r="J61" i="1" s="1"/>
  <c r="E62" i="1"/>
  <c r="J62" i="1" s="1"/>
  <c r="E60" i="1"/>
  <c r="J60" i="1" s="1"/>
  <c r="E59" i="1"/>
  <c r="J59" i="1" s="1"/>
  <c r="H58" i="1"/>
  <c r="G58" i="1"/>
  <c r="E58" i="1"/>
  <c r="H55" i="1"/>
  <c r="H56" i="1"/>
  <c r="H57" i="1"/>
  <c r="G57" i="1"/>
  <c r="J57" i="1" s="1"/>
  <c r="G56" i="1"/>
  <c r="G55" i="1"/>
  <c r="H54" i="1"/>
  <c r="G54" i="1"/>
  <c r="H53" i="1"/>
  <c r="G53" i="1"/>
  <c r="I53" i="1" s="1"/>
  <c r="H52" i="1"/>
  <c r="G52" i="1"/>
  <c r="J52" i="1" s="1"/>
  <c r="E56" i="1"/>
  <c r="E55" i="1"/>
  <c r="E54" i="1"/>
  <c r="E53" i="1"/>
  <c r="H51" i="1"/>
  <c r="I51" i="1" s="1"/>
  <c r="H50" i="1"/>
  <c r="I50" i="1" s="1"/>
  <c r="E50" i="1"/>
  <c r="J50" i="1" s="1"/>
  <c r="E51" i="1"/>
  <c r="J51" i="1" s="1"/>
  <c r="T72" i="1"/>
  <c r="T71" i="1"/>
  <c r="T66" i="1"/>
  <c r="T70" i="1"/>
  <c r="T69" i="1"/>
  <c r="T68" i="1"/>
  <c r="T67" i="1"/>
  <c r="T56" i="1"/>
  <c r="T54" i="1"/>
  <c r="T65" i="1"/>
  <c r="T63" i="1"/>
  <c r="T64" i="1"/>
  <c r="T55" i="1"/>
  <c r="E24" i="1"/>
  <c r="J24" i="1" s="1"/>
  <c r="E39" i="1"/>
  <c r="E3" i="1"/>
  <c r="E4" i="1"/>
  <c r="H48" i="1"/>
  <c r="I48" i="1" s="1"/>
  <c r="E48" i="1"/>
  <c r="J48" i="1" s="1"/>
  <c r="H47" i="1"/>
  <c r="E47" i="1"/>
  <c r="G47" i="1"/>
  <c r="G44" i="1"/>
  <c r="J44" i="1" s="1"/>
  <c r="G45" i="1"/>
  <c r="J45" i="1" s="1"/>
  <c r="G43" i="1"/>
  <c r="I43" i="1" s="1"/>
  <c r="E43" i="1"/>
  <c r="J43" i="1" s="1"/>
  <c r="H42" i="1"/>
  <c r="G42" i="1"/>
  <c r="G41" i="1"/>
  <c r="I41" i="1" s="1"/>
  <c r="E42" i="1"/>
  <c r="E41" i="1"/>
  <c r="E40" i="1"/>
  <c r="H39" i="1"/>
  <c r="G37" i="1"/>
  <c r="I37" i="1" s="1"/>
  <c r="E37" i="1"/>
  <c r="G35" i="1"/>
  <c r="I35" i="1" s="1"/>
  <c r="E35" i="1"/>
  <c r="E34" i="1"/>
  <c r="J34" i="1" s="1"/>
  <c r="E33" i="1"/>
  <c r="J33" i="1" s="1"/>
  <c r="I33" i="1"/>
  <c r="H32" i="1"/>
  <c r="G32" i="1"/>
  <c r="E32" i="1"/>
  <c r="J32" i="1" s="1"/>
  <c r="H31" i="1"/>
  <c r="G31" i="1"/>
  <c r="E31" i="1"/>
  <c r="E30" i="1"/>
  <c r="J30" i="1" s="1"/>
  <c r="H29" i="1"/>
  <c r="E29" i="1"/>
  <c r="J29" i="1" s="1"/>
  <c r="I29" i="1"/>
  <c r="E28" i="1"/>
  <c r="J28" i="1" s="1"/>
  <c r="H27" i="1"/>
  <c r="G27" i="1"/>
  <c r="E27" i="1"/>
  <c r="I28" i="1"/>
  <c r="H26" i="1"/>
  <c r="G26" i="1"/>
  <c r="E26" i="1"/>
  <c r="H25" i="1"/>
  <c r="G25" i="1"/>
  <c r="E25" i="1"/>
  <c r="H24" i="1"/>
  <c r="I24" i="1" s="1"/>
  <c r="H23" i="1"/>
  <c r="G23" i="1"/>
  <c r="E23" i="1"/>
  <c r="E22" i="1"/>
  <c r="G22" i="1"/>
  <c r="I22" i="1" s="1"/>
  <c r="H21" i="1"/>
  <c r="I21" i="1" s="1"/>
  <c r="H20" i="1"/>
  <c r="I20" i="1" s="1"/>
  <c r="E21" i="1"/>
  <c r="J21" i="1" s="1"/>
  <c r="E20" i="1"/>
  <c r="J20" i="1" s="1"/>
  <c r="H19" i="1"/>
  <c r="I19" i="1" s="1"/>
  <c r="E19" i="1"/>
  <c r="H18" i="1"/>
  <c r="I18" i="1" s="1"/>
  <c r="E18" i="1"/>
  <c r="J18" i="1" s="1"/>
  <c r="H17" i="1"/>
  <c r="I17" i="1" s="1"/>
  <c r="E17" i="1"/>
  <c r="J17" i="1" s="1"/>
  <c r="H16" i="1"/>
  <c r="I16" i="1" s="1"/>
  <c r="E16" i="1"/>
  <c r="J16" i="1" s="1"/>
  <c r="H15" i="1"/>
  <c r="I15" i="1" s="1"/>
  <c r="E15" i="1"/>
  <c r="J15" i="1" s="1"/>
  <c r="E14" i="1"/>
  <c r="J14" i="1" s="1"/>
  <c r="H14" i="1"/>
  <c r="I14" i="1" s="1"/>
  <c r="H13" i="1"/>
  <c r="I13" i="1" s="1"/>
  <c r="E13" i="1"/>
  <c r="J13" i="1" s="1"/>
  <c r="G12" i="1"/>
  <c r="I12" i="1" s="1"/>
  <c r="E12" i="1"/>
  <c r="G11" i="1"/>
  <c r="I11" i="1" s="1"/>
  <c r="E11" i="1"/>
  <c r="H10" i="1"/>
  <c r="I10" i="1" s="1"/>
  <c r="E10" i="1"/>
  <c r="J10" i="1" s="1"/>
  <c r="G9" i="1"/>
  <c r="I9" i="1" s="1"/>
  <c r="E9" i="1"/>
  <c r="E8" i="1"/>
  <c r="J8" i="1" s="1"/>
  <c r="H7" i="1"/>
  <c r="G7" i="1"/>
  <c r="J7" i="1" s="1"/>
  <c r="H6" i="1"/>
  <c r="I6" i="1" s="1"/>
  <c r="E6" i="1"/>
  <c r="J6" i="1" s="1"/>
  <c r="H4" i="1"/>
  <c r="H5" i="1"/>
  <c r="G5" i="1"/>
  <c r="E5" i="1"/>
  <c r="J36" i="1"/>
  <c r="J38" i="1"/>
  <c r="J46" i="1"/>
  <c r="I30" i="1"/>
  <c r="I34" i="1"/>
  <c r="I36" i="1"/>
  <c r="I38" i="1"/>
  <c r="I46" i="1"/>
  <c r="G4" i="1"/>
  <c r="G3" i="1"/>
  <c r="H3" i="1"/>
  <c r="H2" i="1"/>
  <c r="I2" i="1" s="1"/>
  <c r="E2" i="1"/>
  <c r="J81" i="1" l="1"/>
  <c r="J88" i="1"/>
  <c r="J2" i="1"/>
  <c r="T97" i="1"/>
  <c r="I88" i="1"/>
  <c r="I81" i="1"/>
  <c r="J73" i="1"/>
  <c r="J74" i="1"/>
  <c r="J75" i="1"/>
  <c r="J53" i="1"/>
  <c r="J76" i="1"/>
  <c r="J26" i="1"/>
  <c r="I68" i="1"/>
  <c r="J27" i="1"/>
  <c r="J42" i="1"/>
  <c r="J71" i="1"/>
  <c r="T62" i="1"/>
  <c r="I58" i="1"/>
  <c r="J55" i="1"/>
  <c r="J56" i="1"/>
  <c r="I52" i="1"/>
  <c r="I57" i="1"/>
  <c r="I44" i="1"/>
  <c r="I56" i="1"/>
  <c r="J68" i="1"/>
  <c r="I55" i="1"/>
  <c r="J69" i="1"/>
  <c r="J58" i="1"/>
  <c r="I63" i="1"/>
  <c r="T61" i="1"/>
  <c r="I54" i="1"/>
  <c r="J54" i="1"/>
  <c r="J41" i="1"/>
  <c r="J47" i="1"/>
  <c r="I32" i="1"/>
  <c r="T57" i="1"/>
  <c r="I42" i="1"/>
  <c r="I45" i="1"/>
  <c r="J35" i="1"/>
  <c r="T58" i="1"/>
  <c r="T51" i="1"/>
  <c r="I47" i="1"/>
  <c r="T52" i="1"/>
  <c r="T50" i="1"/>
  <c r="T53" i="1"/>
  <c r="J23" i="1"/>
  <c r="J37" i="1"/>
  <c r="J25" i="1"/>
  <c r="I3" i="1"/>
  <c r="J3" i="1"/>
  <c r="J12" i="1"/>
  <c r="I31" i="1"/>
  <c r="J31" i="1"/>
  <c r="I27" i="1"/>
  <c r="I26" i="1"/>
  <c r="I23" i="1"/>
  <c r="I25" i="1"/>
  <c r="J19" i="1"/>
  <c r="J22" i="1"/>
  <c r="J9" i="1"/>
  <c r="J11" i="1"/>
  <c r="I7" i="1"/>
  <c r="I4" i="1"/>
  <c r="I5" i="1"/>
  <c r="J4" i="1"/>
  <c r="J5" i="1"/>
  <c r="T59" i="1" l="1"/>
  <c r="T60" i="1"/>
</calcChain>
</file>

<file path=xl/sharedStrings.xml><?xml version="1.0" encoding="utf-8"?>
<sst xmlns="http://schemas.openxmlformats.org/spreadsheetml/2006/main" count="2030" uniqueCount="467">
  <si>
    <t>PnL</t>
  </si>
  <si>
    <t>L/S</t>
  </si>
  <si>
    <t>Risk</t>
  </si>
  <si>
    <t>Time</t>
  </si>
  <si>
    <t>Model</t>
  </si>
  <si>
    <t>Day of W</t>
  </si>
  <si>
    <t>Date</t>
  </si>
  <si>
    <t>Mon</t>
  </si>
  <si>
    <t>Tues</t>
  </si>
  <si>
    <t>Weds</t>
  </si>
  <si>
    <t>Thurs</t>
  </si>
  <si>
    <t>Fri</t>
  </si>
  <si>
    <t>Trail</t>
  </si>
  <si>
    <t xml:space="preserve">Reward </t>
  </si>
  <si>
    <t>Ratio</t>
  </si>
  <si>
    <t>Time in</t>
  </si>
  <si>
    <t>PXH/OB</t>
  </si>
  <si>
    <t>Yes</t>
  </si>
  <si>
    <t>Right?</t>
  </si>
  <si>
    <t>Poor Fill?</t>
  </si>
  <si>
    <t>Poor SL?</t>
  </si>
  <si>
    <t>DrL</t>
  </si>
  <si>
    <t>Long</t>
  </si>
  <si>
    <t>Short</t>
  </si>
  <si>
    <t>No</t>
  </si>
  <si>
    <t>Breaker</t>
  </si>
  <si>
    <t>Reactive or Anticipatory?</t>
  </si>
  <si>
    <t>9:11-9:12</t>
  </si>
  <si>
    <t>Tw</t>
  </si>
  <si>
    <t>Realized RR</t>
  </si>
  <si>
    <t>Reactive</t>
  </si>
  <si>
    <t>Anticipatory</t>
  </si>
  <si>
    <t>9:27-9:28</t>
  </si>
  <si>
    <t>Notes</t>
  </si>
  <si>
    <t>Not bad, why are we entering above pxh and not waiting for that 59 low and SMT ob</t>
  </si>
  <si>
    <t>Shit fill, why are we entering IN the breaker, decent trailing, one of my classic fade the market after losing trade.</t>
  </si>
  <si>
    <t>Literal 3.5 point stop, you gotta be using tactical wick entries to pull that shit off</t>
  </si>
  <si>
    <t>Basically the same entry but with a much better fill and SL, don’t mind this one too much, although spamming the am in between after we already distributed is kinda dumb.</t>
  </si>
  <si>
    <t>8:35-8:36</t>
  </si>
  <si>
    <t>Worth Taking?</t>
  </si>
  <si>
    <t>PXH CE, SMT ob anticipation</t>
  </si>
  <si>
    <t>Shit, Way too anticpatory, low entry criteria, just market order before a high was even put in. Bull shit entry with nothing there on unprobable price action, and then I took a long that wasn’t bad and then took 4 more trades shorting a long bias day. I am not going to log this because I want an idea of my SYSTEM, this wasnt permissible.</t>
  </si>
  <si>
    <t>TS Orderblock</t>
  </si>
  <si>
    <t>Actually a pretty good trade, ATT high got ran but not closed above Ts orderblock,</t>
  </si>
  <si>
    <t>8:47-8:49</t>
  </si>
  <si>
    <t>PXL</t>
  </si>
  <si>
    <t>No TP</t>
  </si>
  <si>
    <t>8:45-8:46</t>
  </si>
  <si>
    <t>This entry criteria just doesn't, make sense to a human, You'd want an entry in the sibi or the wick, or on the retrace to the TS OB, but you can really justify a great entry where I got in, just because the stop loss placement is nebulous</t>
  </si>
  <si>
    <t>Ts Orderblock in Sibi and PXL</t>
  </si>
  <si>
    <t>N/A</t>
  </si>
  <si>
    <t>Instrument</t>
  </si>
  <si>
    <t>NQ</t>
  </si>
  <si>
    <t>YM</t>
  </si>
  <si>
    <t>8:50-9:10</t>
  </si>
  <si>
    <t>SIBI</t>
  </si>
  <si>
    <t>This aint terrible You just wanna be MORE reactive, Getting in a candle later on the test of the wick is better, I just faded YM after NQ wasn’t really delivering back into Full penetration of the BISI.</t>
  </si>
  <si>
    <t>BE</t>
  </si>
  <si>
    <t>9:06-9:12</t>
  </si>
  <si>
    <t>SMT OB</t>
  </si>
  <si>
    <t>W trade, W Be, worth taking.</t>
  </si>
  <si>
    <t>8:52-9:00</t>
  </si>
  <si>
    <t>SMT YM</t>
  </si>
  <si>
    <t>W entry I believe</t>
  </si>
  <si>
    <t>8:41-8:49</t>
  </si>
  <si>
    <t>SIBI OB</t>
  </si>
  <si>
    <t>Sorta</t>
  </si>
  <si>
    <t>Good trade targeting an obivous SIBI, I js think my fill and sl was certainly not optimized.</t>
  </si>
  <si>
    <t>8:37-8:41</t>
  </si>
  <si>
    <t>SMT Disr PXH, BISI immediate rebalance</t>
  </si>
  <si>
    <t>Shoulda kept risk on or re-entered, got BE on a ATT low and that shit ran all day, Gotta stay objective on when to keep risk on, Its basically like taking as second trade.</t>
  </si>
  <si>
    <t>8:51-8:54</t>
  </si>
  <si>
    <t>HTF Liq dump expectation.</t>
  </si>
  <si>
    <t xml:space="preserve">Idk just another classic adam baba long , I feel like I gotta be ENTIRELY stringent with those type of entries and be UTTERLY Objective </t>
  </si>
  <si>
    <t>10:00-10:01</t>
  </si>
  <si>
    <t>Nothing</t>
  </si>
  <si>
    <t>Nothng</t>
  </si>
  <si>
    <t>Shit entries, both of these romo and fucked up trades.</t>
  </si>
  <si>
    <t>10:02-10:05</t>
  </si>
  <si>
    <t>Shit</t>
  </si>
  <si>
    <t>Another instance of the long adam fade, lock in</t>
  </si>
  <si>
    <t>11:16-11:17</t>
  </si>
  <si>
    <t>Really nothing, coulda waited for that lil ts wick retest, woulda been goated.</t>
  </si>
  <si>
    <t>Need more strigent entry criteria, got get these Bes</t>
  </si>
  <si>
    <t>TS OB</t>
  </si>
  <si>
    <t>Decent, shoulda been derisked</t>
  </si>
  <si>
    <t>8:56-9:03</t>
  </si>
  <si>
    <t>Reactive-Late</t>
  </si>
  <si>
    <t>9:08-9:10</t>
  </si>
  <si>
    <t>Gotta get Derisked on this</t>
  </si>
  <si>
    <t>Prolly derisked on this one too, SMT doesn’t work on these bullish ass days, be vigilant.</t>
  </si>
  <si>
    <t>ES</t>
  </si>
  <si>
    <t>TW</t>
  </si>
  <si>
    <t>8:46-9:05</t>
  </si>
  <si>
    <t>Good example of good Anticiaption SMT OB</t>
  </si>
  <si>
    <t>8:38-8:49</t>
  </si>
  <si>
    <t>OB</t>
  </si>
  <si>
    <t>Good entry, no model tho so the risk is a lot and sizing up is little audacious. I should'nt gotta size up, SL at that wick with like 12 cons is so much better.</t>
  </si>
  <si>
    <t>8:36-8:37</t>
  </si>
  <si>
    <t>In this case you wouldve had to had full risk on and kept it in, this little range that defined before distribution is gay, if u wait for the 41 low you get that every time.</t>
  </si>
  <si>
    <t>9:06-9:27</t>
  </si>
  <si>
    <t>W trade Probably shoulda got Breakeven on this one because I entered a little early, on ES Id have been stopped out</t>
  </si>
  <si>
    <t>8:37-8:48</t>
  </si>
  <si>
    <t>Taking this with a BETTER fill and a TIGHTER stop on the same candle is so tuff, you could've kept derisk on and caught whole day move, this profile was really tough though albeit.</t>
  </si>
  <si>
    <t>8:39-8:53</t>
  </si>
  <si>
    <t>BISI</t>
  </si>
  <si>
    <t>Huge fucking trade just need more risk on that bitch</t>
  </si>
  <si>
    <t>8:55-8:56</t>
  </si>
  <si>
    <t>Stay in the trade and trail or get a good re-entry model, not this shit.</t>
  </si>
  <si>
    <t>8:35-8:47</t>
  </si>
  <si>
    <t>YES</t>
  </si>
  <si>
    <t>NO</t>
  </si>
  <si>
    <t>HAVEEE to be more reactive, huge sibi rebalance SMT OB entry on the 39 candle with a 41 dud</t>
  </si>
  <si>
    <t>yes</t>
  </si>
  <si>
    <t>no</t>
  </si>
  <si>
    <t>Another classic fade but on the short side this time, so dum</t>
  </si>
  <si>
    <t>SMT Wick</t>
  </si>
  <si>
    <t>Equil SIBI SMT OB</t>
  </si>
  <si>
    <t>8:29-8:30</t>
  </si>
  <si>
    <t>Anticipatory and Reactive</t>
  </si>
  <si>
    <t>This is a huge premarket sell model, I definitely set my stop too liberal, obviously &lt;5 point stop is permissible because of slippage but honestly you coulda put stop at .5 of those wicks</t>
  </si>
  <si>
    <t>8:40-8:44</t>
  </si>
  <si>
    <t>Huge W</t>
  </si>
  <si>
    <t>TS Anticipation</t>
  </si>
  <si>
    <t>8:41 -- 8:42</t>
  </si>
  <si>
    <t>8:48 - 8:49</t>
  </si>
  <si>
    <t>Sum bullshit entires fasho, first short is good but its gonna be in the wick of that downclose candle out of the sibi with stops above. Second one is just a rare ass trade to hit but W risk</t>
  </si>
  <si>
    <t>8:45-8:49</t>
  </si>
  <si>
    <t>SIBI PXL wick</t>
  </si>
  <si>
    <t>W ass trade just really under risked for 5 point SL</t>
  </si>
  <si>
    <t>9:04-9:05</t>
  </si>
  <si>
    <t>This entry isnt bad but if you just waited and took the model that presented itself you literally add another HUGE W to the day, I really gotta just be snagging premo entries.</t>
  </si>
  <si>
    <t>8:47-8:50</t>
  </si>
  <si>
    <t>W ass trade im smacking that everytime I hope</t>
  </si>
  <si>
    <t>SMT/TS OB</t>
  </si>
  <si>
    <t>BISI immediate Rebalance</t>
  </si>
  <si>
    <t>8:34-8:36</t>
  </si>
  <si>
    <t>Idk prbably not the best entry, it'll get you break even but It doesn’t really feel like a whole day typa move from my entry point.</t>
  </si>
  <si>
    <t>n/a</t>
  </si>
  <si>
    <t>8:31-8:32</t>
  </si>
  <si>
    <t>SIBI immediate rebalance</t>
  </si>
  <si>
    <t>If I just wait for that candle to print a little more I get a better fill or I can just get in on the next engulfing candle with confirmation of the SMT OB</t>
  </si>
  <si>
    <t xml:space="preserve">ATT High </t>
  </si>
  <si>
    <t>Good trade but why are we trading WITHOUT STOPLOSSES and NOT REALIZING ITS  A PROBLEM, NIP THIS SHIT IN THE BUD RIGHT AWAY, IT’S A RECURRING THEME THAT MY REACTIVE ENTRIES WITH SOUND MODELS AND GOOD RISK MANAGEMENT IS MY EDGE.</t>
  </si>
  <si>
    <t>9:47 - 9:55</t>
  </si>
  <si>
    <t>W, risk is a little shit but I was shook up from the open, I really CANNOT allow myself to take dumbass trades thereby COMPRIMISING MY psychology</t>
  </si>
  <si>
    <t>9:56-9:59</t>
  </si>
  <si>
    <t>Really large stop, probably don’t want that on a re-entry</t>
  </si>
  <si>
    <t>TP</t>
  </si>
  <si>
    <t>8:42-8:47</t>
  </si>
  <si>
    <t>ATT Low</t>
  </si>
  <si>
    <t>This entry was really solid No real  model beside that ATT low, for a bullish ass Monday that’s all I really needed tho, Stop loss was pretty liberal though I coulda def put on like 5 points risk with 12 cons</t>
  </si>
  <si>
    <t>8:32-8:36</t>
  </si>
  <si>
    <t>8:41-8:45</t>
  </si>
  <si>
    <t>My most unpermissible and unnormalized entry in this log, never again</t>
  </si>
  <si>
    <t>8:48-9:00</t>
  </si>
  <si>
    <t>News TS OB</t>
  </si>
  <si>
    <t>One of the best trades I've taken ever, genuinely, should be a daily thang.</t>
  </si>
  <si>
    <t>TS OB anticipation</t>
  </si>
  <si>
    <t>Return Analytics:</t>
  </si>
  <si>
    <t>Mean:</t>
  </si>
  <si>
    <t>STD</t>
  </si>
  <si>
    <t>Min</t>
  </si>
  <si>
    <t>Max</t>
  </si>
  <si>
    <t>I AM PROFITABLE WITH ALL TERRIBLE DAYS REMOVED, I WILL NEVER TRADE OUT OF PERMISSIBLITY AGAIN I WILL RE RUN THIS analytical system in 3 more months and blow these numbers out of the fucking water.</t>
  </si>
  <si>
    <t>Dumb ah am session, stringent entry models are required, Stop losses are now a STRINGENT requirement.</t>
  </si>
  <si>
    <t>Average Realized RR:</t>
  </si>
  <si>
    <t>Avg Reward</t>
  </si>
  <si>
    <t>Average Risk</t>
  </si>
  <si>
    <t>Avg Realized</t>
  </si>
  <si>
    <t>Breakeven Rate:</t>
  </si>
  <si>
    <t>Loss Rate:</t>
  </si>
  <si>
    <t>WinRate:</t>
  </si>
  <si>
    <t>SL</t>
  </si>
  <si>
    <t>Tight SL</t>
  </si>
  <si>
    <t>Mkt close</t>
  </si>
  <si>
    <t>THIS DAY WAS SO ASS, STOP BEING DUMB, CHECK YOUR FUCKING STOPS, ok, another fade by me for no reason, like Im gonna make as ystem change right now, NO MORE anticipation,  ALL TRADES LEAN reactive NOT anticipatory. This log will feed families, I report here at least weekly. like deadass tho U missed the breaker premo entry (for no reason, you wanted to enter on that bisi getting closed in, then u got a immediate rebalance to CE its like you cant ask for a better place to enter and put 5 points on, LIKE deadass dude we got something special here, I do not gotta be throwing on so much risk in terms of my stop loss, IF i am WRONG within the same or consecutive candle, i dont want to be in anyway, and thats the biggest thing, I trust my skills and gumption now, I can snipe shit and not have to monkey brain short a down close wick off a premarket high.</t>
  </si>
  <si>
    <t>Total losses</t>
  </si>
  <si>
    <t>revenue:</t>
  </si>
  <si>
    <t>Gotta get my WINRATE and BREAKEVEN rate UP and my LOSS rate DOWN. Deadass tho I have been so wildly profitable with only those few REALLLLY bad psychology days removed. I can really start wiping these prop firms bad, I gotta lock in for the next two weeks, secure my payout, pass that funded</t>
  </si>
  <si>
    <t>Long %</t>
  </si>
  <si>
    <t>Short %</t>
  </si>
  <si>
    <t>long win%</t>
  </si>
  <si>
    <t>short win%</t>
  </si>
  <si>
    <t>long BE</t>
  </si>
  <si>
    <t>short BE</t>
  </si>
  <si>
    <t>Long L</t>
  </si>
  <si>
    <t>Short L</t>
  </si>
  <si>
    <t>I've been so blessed to have this 40% winrate and these high ass RR trades, but I need more, and I know I can attain more. I want my loss rate DOWN a LOT for the next 50 TRADES I will be getting my loss rate down under 40% my Breakeven rate up to 10-15%, and my win rate up HOPEFULLY in excess of my losses and over 50%</t>
  </si>
  <si>
    <t>I was very short biased for a while, and as we have been bulling I have had the poor tendency/heuristic to fade the market, especially emotionally after I miss entries, I did that today even, I seek utter objectivity in thought when I trade. My short and long rate should probably even out to 50/50 and as we bull probably be biased to the long side.</t>
  </si>
  <si>
    <t>I have a tendency to not want to re-enter that which I have been break even on, I am objective, I know my system calls for excessive derisking and breakeven stops, I have to be able to take the pain and put risk back on the table if I still like the entry.</t>
  </si>
  <si>
    <t>Reactive %</t>
  </si>
  <si>
    <t>Anticipatory %</t>
  </si>
  <si>
    <t>I should be anticipatorily entering more often that like 15%, I definitely win more reactively.</t>
  </si>
  <si>
    <t xml:space="preserve">Overall System tweaks, IE how I will trade until I rerun data analytics, two months say. I look to get breakeven a lot more, and I NEED to think in utter objectivity, I am nothing without my system, it is nothing with out me. I simply cannot think with emotion anymore, Not with how much I am risking. so, I get breakeven more, I can do this because I can TRUST myself to re-enter reactively. I enter reactively far more now, I don't really look to enter anticipations anymore, I only want models, I dont have to hop off the charts in 30 minutes every day. I've added PDR and HTF levels to my trading, ATT is a supreme Array to add, I can do TA out the ass and call shit but price will be stochastic so my edge is my execution. My executing have to be rock solid, same with SL placements and trails. My models present themselves all day its just up to me to spot them, take them, and get break even on the duds. </t>
  </si>
  <si>
    <t>Compendious tweaks</t>
  </si>
  <si>
    <t>HTF levels</t>
  </si>
  <si>
    <t>PDR</t>
  </si>
  <si>
    <t>Objectivity</t>
  </si>
  <si>
    <t>NOT Monkey brain fading after losses.</t>
  </si>
  <si>
    <t>Higher BE %</t>
  </si>
  <si>
    <t>Lower L %</t>
  </si>
  <si>
    <t>Rock solid entries and SL</t>
  </si>
  <si>
    <t>More reactive  model entries, less anticipatory model entries</t>
  </si>
  <si>
    <t>8:42-8:43</t>
  </si>
  <si>
    <t>IFVG, 41 low</t>
  </si>
  <si>
    <t>IR, 53 low</t>
  </si>
  <si>
    <t>8:54-8:56</t>
  </si>
  <si>
    <t>9:19-9:20</t>
  </si>
  <si>
    <t>9:31-9:32</t>
  </si>
  <si>
    <t>9:05-9:06</t>
  </si>
  <si>
    <t>9:42-9:45</t>
  </si>
  <si>
    <t>Anticpatory</t>
  </si>
  <si>
    <t>3, 59 Low, OB, Wick, IR, IFVG, SMT</t>
  </si>
  <si>
    <t>Yes :(</t>
  </si>
  <si>
    <t>SMT</t>
  </si>
  <si>
    <t>41 high, failure close, SMT</t>
  </si>
  <si>
    <t>If u get a good fill, don’t go BE immediately, if u get a shit fill, then u should. 08-12 was not a bad day but the only thing is YOU gotta be letting that 3rd long RUN, and once you see that range form probably don’t look to enter two different shorts, That 4th entry the short was ass too, I should've market closed upon the closure of that candle to be honest.</t>
  </si>
  <si>
    <t>47 Low, IR try</t>
  </si>
  <si>
    <t>8:59-9:01</t>
  </si>
  <si>
    <t xml:space="preserve">IR </t>
  </si>
  <si>
    <t>SMT anticipation ATT 9:00 hold</t>
  </si>
  <si>
    <t>NOTHING</t>
  </si>
  <si>
    <t>10:42-10:45</t>
  </si>
  <si>
    <t>Anticipatory as fuck</t>
  </si>
  <si>
    <t>10:47-10:48</t>
  </si>
  <si>
    <t>PXH</t>
  </si>
  <si>
    <t>9:20-9:21</t>
  </si>
  <si>
    <t>Unfortunate day, my executions were solid, very laid back, I only want pretty models. Just gonna try to get through this slump, catch a W and lock back in. My system is my best accordance, it is all I have.</t>
  </si>
  <si>
    <t>10:17-10:18</t>
  </si>
  <si>
    <t>ATT low, BISI respect</t>
  </si>
  <si>
    <t>ISMT OB, ATT HIGH</t>
  </si>
  <si>
    <t>ESMT OB</t>
  </si>
  <si>
    <t>8:35-8:38</t>
  </si>
  <si>
    <t>8:40-8:42</t>
  </si>
  <si>
    <t>8:56-8:58</t>
  </si>
  <si>
    <t>9:25-9:30</t>
  </si>
  <si>
    <t>9:42-9:43</t>
  </si>
  <si>
    <t>Reactive-ish</t>
  </si>
  <si>
    <t>SIBI SMT OB</t>
  </si>
  <si>
    <t>PXL, ATT retrace anticpation</t>
  </si>
  <si>
    <t>Massive wick, no TRUE model</t>
  </si>
  <si>
    <t>ISMT OB, ATT HIGH, SIBI</t>
  </si>
  <si>
    <t>Massive wick, ATT low</t>
  </si>
  <si>
    <t>This was an AMAZING day to be a day trader, I just simply executed poorly, THIS COULD've and SHOULD'VE BEEN A 15R day. In any case, No trade I took was really bad per say, but I could just be a little sharper and GET SOME ACTUAL WINS. In any case I am TOO fucking locked for this shit. I just gotta get back to 53k on my PA and pass that EVAL, If I Can just get a payout from PA-2 Everything will fall into place. I love god, I act only in accordance. amen.</t>
  </si>
  <si>
    <t>L</t>
  </si>
  <si>
    <t>W</t>
  </si>
  <si>
    <t>badL</t>
  </si>
  <si>
    <t>8:45-8:47</t>
  </si>
  <si>
    <t>9:22-9:23</t>
  </si>
  <si>
    <t>Reactive ash W</t>
  </si>
  <si>
    <t>SIBI News candlr</t>
  </si>
  <si>
    <t>Nothing really</t>
  </si>
  <si>
    <t>Rough day, lotta oppurtunites, I took some BS instead. And my win was good, but the TP was terrible. I have to lock in simply put.</t>
  </si>
  <si>
    <t>tW</t>
  </si>
  <si>
    <t>8:39-8:46</t>
  </si>
  <si>
    <t>8:53-8:57</t>
  </si>
  <si>
    <t>Smt OB retrace. 53 High</t>
  </si>
  <si>
    <t>PXH, anticipation OB gain.</t>
  </si>
  <si>
    <t>W ass day, I just really got be Tping that long tbh, Trailing is cool but I think I gotta just TP everytime man, once I get on the live account trailing makes more sense, but catching a  whole days move on the prop Pas isnt the best because of consistency rules.</t>
  </si>
  <si>
    <t>8:59-9:00</t>
  </si>
  <si>
    <t>Anticipatory asl</t>
  </si>
  <si>
    <t>Absolutely NOTHING</t>
  </si>
  <si>
    <t>fuck no</t>
  </si>
  <si>
    <t>Gotta be better than this man</t>
  </si>
  <si>
    <t>Mc</t>
  </si>
  <si>
    <t>8:26-8:27</t>
  </si>
  <si>
    <t>8:50-8:51</t>
  </si>
  <si>
    <t>Ts OB</t>
  </si>
  <si>
    <t>SMT ob retrace wick</t>
  </si>
  <si>
    <t>Nun</t>
  </si>
  <si>
    <t>9:28-9:30</t>
  </si>
  <si>
    <t>SMT ob, in chop</t>
  </si>
  <si>
    <t>TS OB, disrepsected, gotta be trying longs</t>
  </si>
  <si>
    <t>14:37-14:50</t>
  </si>
  <si>
    <t>BISI swing</t>
  </si>
  <si>
    <t>YESSSS</t>
  </si>
  <si>
    <t>W PM SESH TRADES THESE ARE FEW AND FAR BETWEEN.</t>
  </si>
  <si>
    <t>9:45-9:47</t>
  </si>
  <si>
    <t>kinda inbetween</t>
  </si>
  <si>
    <t>Att run wick retest</t>
  </si>
  <si>
    <t xml:space="preserve">SMT OB anticipation entry got baited bad </t>
  </si>
  <si>
    <t>Close</t>
  </si>
  <si>
    <t>meh</t>
  </si>
  <si>
    <t>8:55-8:57</t>
  </si>
  <si>
    <t>double ATT SMT OB</t>
  </si>
  <si>
    <t>calm ass day ended the week up almost 2 bands and just passed another funded, its just time to scale and stay lock as fuck</t>
  </si>
  <si>
    <t>traded like shit, but had a 10k month…...... I got 2 Pas, 4 evals, I can really cook up here and secure two more payouts. Then pass the rest of these evals, If I get another round of payouts after that, I win. The live account is mine.</t>
  </si>
  <si>
    <t>Per account from 07/23-08/29</t>
  </si>
  <si>
    <t>Really not a bad model but the context was not backing it up and it was ambiguous, longs were the play fasho. IN ANY CASE NOT TRYING THAT TS OB AT 8:32 was a sell and I should really be licking my chops for a model like that and be willing to just slam an order down and market close if it's not looking right and set a SL of course.</t>
  </si>
  <si>
    <t>8:52-8:53</t>
  </si>
  <si>
    <t>13:12-13:15</t>
  </si>
  <si>
    <t>SMT/TS WICK retrace</t>
  </si>
  <si>
    <t>Worth taking, But simply put short models are disrepected in PM macro and it turns out to be a bullish trend day, TAKE ur Derisked L and SLAM some longs man, If I didn’t fall asleep I think I do catch longs tbh but I cant say anything for certain. I gotta start coming diffy in the markets and snag some Ws real SHIT man.</t>
  </si>
  <si>
    <t>IR</t>
  </si>
  <si>
    <t>TRADED LIKE SHITTTTTT I CANNOT NEGLECT GOOD TRADES BUT I CANNOT FORCE SHIT ONES EITHER. MY SYSTEM IS SO INCOMPLETE I HAVE TO KEEP OPTIMIZING BUT FIRST I MUST WIN. I HAVE TO BE WINNING TODAY BECAUSE PRICE IS SHITTY And AMBIGUOUS UNTIL IT ISNT. BEARISH TREND DAY IS PRESENTED AND IM PRECLUDED FROM PARTICIPATING BECAUSE I TOOK TWO SHITTILY FILLED LONGS THAT HIT SL WHEN THEY SHOULD'VE BEEN BREAK EVEENS.</t>
  </si>
  <si>
    <t>Spam-entry</t>
  </si>
  <si>
    <t>YES(hitselltwiceretard)</t>
  </si>
  <si>
    <t>NOOOOOO</t>
  </si>
  <si>
    <t>kinda</t>
  </si>
  <si>
    <t>8:53-8:54</t>
  </si>
  <si>
    <t>9:03-9:04</t>
  </si>
  <si>
    <t>I suck, and I have been sucking, and there SHOULDN’T BE A DAY THAT JUST CAUSES A LOCK IN. I AM ALWAYSSSS LOCKED AND EVERYFUCKING TRADE I TAKE IS IN UTTER ACCORDANCE WITH MY SYSTEM. I SHOULD NEVER FEEL BAD AOBUT A TRADE AND YET I HAVE BEEN PUTTING NO IN THE "worth taking?" box non stop. LIKE LOCK TF IN. I am going to put looser stops and ONLY TAKE GOD MODELS, IF PRICE IS BEING RETARD I WILL HESISTATE TO ENTER LIKE CMON DAWG. NO MORE ROMO, no more bullshit only accordance. No more cyclical psychology. I am good and zen at all times, no depression AND NO ELATION THIS GOES BOTH WAYS. I pray to god and simply will lock in. I have 7.5 R left, that is at least two more weeks, we got big news drivers coming Up, I gotta catch a W and get back on my feet.</t>
  </si>
  <si>
    <t>Reactive but a little quick to enter</t>
  </si>
  <si>
    <t>idek bro longs were correct but price fucked around, if u wouldve waited u couldve smacked that TS smt OB shorts and then caught PXH off of the liquidity sweep. Just majorly unfortunate of a day and I really just need a win so god damn bad I mean ts has been fucking brutal and it most certainly affects my mental.</t>
  </si>
  <si>
    <t>9:01-9:02</t>
  </si>
  <si>
    <t>gotta get break even on this one, gotta get filled ABOVE the CE of the OB, I just execute like shit. 8 losing days in a row man I feel fucking incapable, I don’t think I have lost 8 days consecutively EVER. Like deadass idk what im gonna do like bro IF ICANT GET A WIN IN TWO FUCKING WEEKS WHAT DO I EVEN DO BRO FUCKKKKKKKKKKKKKKKKKKKKKKKKKKKKKKKKKKKKKKKKKKKKKKKKKKKKKKKKKKKKKKKKKKKKKKKKKKKKKKKKKKKKKKKKKKKKKKKKKKKKKKKKKKKKKKKKKKKKK like bye bye both my PAs are gone 5 evals gone i just wanna shoot myself deadass.</t>
  </si>
  <si>
    <t>9:00-9:01</t>
  </si>
  <si>
    <t>SIBI SMT, ATT high</t>
  </si>
  <si>
    <t>So many good shorts to take and I end up being late and getting caught up in chop. Just sad overall, I don’t really care if I blow this round of accounts, Ill just trade three props at a time and get paid out again, im not worried but if I just continue to lose idk what to do, I gotta get back on some actually normalized data, 33% win rate, 1:5 avg is how its gotta be, my trades must coverge to these values.</t>
  </si>
  <si>
    <t>Kinda</t>
  </si>
  <si>
    <t>9:03-9:06</t>
  </si>
  <si>
    <t>im so chopped like what the actual fuck bro.</t>
  </si>
  <si>
    <t>really shit trade, I am putting risk on the table for SHIT. Price distributed and I put risk on some BULLSHIT. No more, I mean it no more My system will prevail in weeks to come no doubt.</t>
  </si>
  <si>
    <t>Good model, but spam entry</t>
  </si>
  <si>
    <t>Displacement thru Break</t>
  </si>
  <si>
    <t>Simply gotta win this won, I NEED this one of the acc. SHOULDve easily caught 150 points on 2 cons on YM today, I don’t trip at all though.</t>
  </si>
  <si>
    <t>14:40-14:43</t>
  </si>
  <si>
    <t>SMT into Sibi then retrace OB formation I enter on wick retrace.</t>
  </si>
  <si>
    <t>IDEK  really wanted a run off that shit but we aint gett it.</t>
  </si>
  <si>
    <t>MC</t>
  </si>
  <si>
    <t>9:06-9:07</t>
  </si>
  <si>
    <t>Internal SMT ORDERBLOCK HIGHER HIGH.</t>
  </si>
  <si>
    <t>Shoulda reallyt got a trailed win here, very unfortunate day overall, I am tripped in the slight obviously, more life to me man.</t>
  </si>
  <si>
    <t>14:49-14:50</t>
  </si>
  <si>
    <t>IDEK</t>
  </si>
  <si>
    <t>OB, pxh closure kinda</t>
  </si>
  <si>
    <t>really just gotta be up for the am, get good vol there, I entered the longs way to early vol hit at 15:00 and a very  nice model presented.</t>
  </si>
  <si>
    <t>BISI swing wick</t>
  </si>
  <si>
    <t>ESSENTIALLY, MY BIAS SHOULD BE CORRECT FOR 40-50% OF DAYS AND DAYS MY BIAS IS CORRECT I SHOULD WIN 70-80% THIS WOULD GIVE ME A WIN RATE OF 28-40% WITH AN rr OF 1:3-10. In essence, profitability. I will not stop and this is a small moment in a long a prosperous career. I have to stay locked man.</t>
  </si>
  <si>
    <t>Anticipatory but not it a terrible sort of way more like I think this smt order block is gonna form and not give me an IR entry. T</t>
  </si>
  <si>
    <t>SMT OB Anticipation</t>
  </si>
  <si>
    <t>rough day there go the pa, I hope my life wont end before me, until I really realize my glory. However not everyone gets what they desire. And man im just so tired. So maybe ill slit wrists or crash my car. Aye at least I lasted this far. Mane</t>
  </si>
  <si>
    <t>11:01-11:02</t>
  </si>
  <si>
    <t>Didn’t even mean to get filled just placed a limit order like a retard.</t>
  </si>
  <si>
    <t>idek man its like idek</t>
  </si>
  <si>
    <t>11:09-11:17</t>
  </si>
  <si>
    <t>reactive but spam entry</t>
  </si>
  <si>
    <t>Bisi</t>
  </si>
  <si>
    <t>I gotta lock in, and its got nothing to do with studying or anything its just about my system and acting within permissiblity of it, in all facets.</t>
  </si>
  <si>
    <t>TS OB DAILY LOW</t>
  </si>
  <si>
    <t>coulda be a yammer, not mad.</t>
  </si>
  <si>
    <t>10:54-10:58</t>
  </si>
  <si>
    <t>11:11-11:12</t>
  </si>
  <si>
    <t>TsOB</t>
  </si>
  <si>
    <t>idek pa was autsim just yammed a short</t>
  </si>
  <si>
    <t>Yea</t>
  </si>
  <si>
    <t>Rough day, I really gotta just get back to trading the am, essentially, I will be trading this eval until I get my swagger back, I have one PA I can preserve, has like 2.5 R, one is just chopped huzz. Hopefully I can pass this eval and then just lock in idek I really gotta because ICANT GO BACK TO MOVING FUCKING FURNITURE&gt;</t>
  </si>
  <si>
    <t>13:36-13:51</t>
  </si>
  <si>
    <t>14:08-14:37</t>
  </si>
  <si>
    <t>15m Sibi</t>
  </si>
  <si>
    <t>OTE, sorta TS</t>
  </si>
  <si>
    <t>just gotta get BE on this one no reason for me to just keep risk on in non probable price action.</t>
  </si>
  <si>
    <t>This one was fine and it’s a good Idea but I shoulda waited for FMM to be honest.</t>
  </si>
  <si>
    <t>8:58-9:00</t>
  </si>
  <si>
    <t>SMT OB of sorts</t>
  </si>
  <si>
    <t>Bisi swing</t>
  </si>
  <si>
    <t>both of these entries were supremely unfortunate, shoulda caught loints on that long and at least got BE on that short. Just unfortunate</t>
  </si>
  <si>
    <t>9:27-9:30</t>
  </si>
  <si>
    <t>SIBI Swing</t>
  </si>
  <si>
    <t>9:55-10:00</t>
  </si>
  <si>
    <t>Got BE oppurutnity on this, really just gotta want longs over all</t>
  </si>
  <si>
    <t>Got BE oppurtunity, idek probably should just take that shit when it arises.</t>
  </si>
  <si>
    <t>13:40-13:50</t>
  </si>
  <si>
    <t>Idek</t>
  </si>
  <si>
    <t>Nun really ig</t>
  </si>
  <si>
    <t>Idek I bet the day ends higher than my buy but it don’t really matter if I get stopped out so I really just gotta focus on models and good executions. Yea adam back here if you just wait for a good model u catch that move u expected and more. Simply sad</t>
  </si>
  <si>
    <t>9:51-9:55</t>
  </si>
  <si>
    <t>IR off bullish reversal</t>
  </si>
  <si>
    <t>Good trade, really would've liked to catch the actual SMT reversal tho.</t>
  </si>
  <si>
    <t>10:29-10:31</t>
  </si>
  <si>
    <t>need better execution here. Idek its just unfortunado.</t>
  </si>
  <si>
    <t>8:30-8:32</t>
  </si>
  <si>
    <t>If this execution is a litte better I would've had a way better oppurtunity. In any case we ran down then expldoed.</t>
  </si>
  <si>
    <t>14:24-14:49</t>
  </si>
  <si>
    <t>I HAVE to be trailing AGGRESIVELY IF IM UP 3-5 R AND WE FORM A TS OB WTF BREH.I mean deadass I couldve closed an reversed so permissibly.</t>
  </si>
  <si>
    <t>TrSL</t>
  </si>
  <si>
    <t>8:44-8:59</t>
  </si>
  <si>
    <t>SIBI swing</t>
  </si>
  <si>
    <t>BISI Immediate rebalance, OTE, just good mode, almost a breaker as well.</t>
  </si>
  <si>
    <t>Banger, I just HAVEEEE TO be concious of news, because I did check, could've just full tped instead of trailing.</t>
  </si>
  <si>
    <t>This should be a Breakeven, I AM EXTREMELY PISSED ABOUT THAT. It would've been much better for me to just hop on at 8:14, I cannot be mad with today though, I have just got to be better. I am nothing without my system, my system is nothing without me.</t>
  </si>
  <si>
    <t>8:50-8:53</t>
  </si>
  <si>
    <t>SMT OB 47 Higher LITERALFUCKINGBANGER</t>
  </si>
  <si>
    <t>9:07-9:08</t>
  </si>
  <si>
    <t>Yes but could be better.</t>
  </si>
  <si>
    <t>8:41-8:42</t>
  </si>
  <si>
    <t>9:14-9:15</t>
  </si>
  <si>
    <t>9:19-9:22</t>
  </si>
  <si>
    <t>SMT BISI swing weird model where I enter on the upclose bottom wick of OB</t>
  </si>
  <si>
    <t>TS OB HTF</t>
  </si>
  <si>
    <t>Calm day but I really gotta be smacking those shorts or winning in some way on this long play, I know whats going on I gotta capitalize, failure is NOT an options</t>
  </si>
  <si>
    <t>9:16-9:18</t>
  </si>
  <si>
    <t>9:30-9:31</t>
  </si>
  <si>
    <t>Lower High ATT SMT OB WITH BREAKER</t>
  </si>
  <si>
    <t>TS OB RETRACE</t>
  </si>
  <si>
    <t>ATT OB</t>
  </si>
  <si>
    <t>A coupla tweaks to this day and It’s a 10 R day, I just have to stay locked. Im back trading on the PAs now, Im gonna risk accordingly, TRADE IN UTTER PERMISSIBLITY, pass this eval and really get shit goin again, I will not allow any circumstances to compromise my system again. I dont care if Im trading on TWENTY PAs ok, like deadass, every morning I lay out how its gonna go, if we on a bunch of PAs and evals, we might risk less, we might trade half size, idk but in any case my executions are such and my system is my system. irregardless of circumstances</t>
  </si>
  <si>
    <t>9:17-9:18</t>
  </si>
  <si>
    <t>Weak retarded poor fill smt ob</t>
  </si>
  <si>
    <t>Fuck no</t>
  </si>
  <si>
    <t>I got so fucking bailed I need to only take premo entries ON GOOD DAYS, THIS DAY SUCKED ASS FUCKING BANK HOLIDAY BULLSHIT. Eval is 900 from passing, PA is 365.9 away from blown, stay locked and I pray I can get this eval done by the 22nd and get this PA out of the dog house. Amen.</t>
  </si>
  <si>
    <t>8:51-8:55</t>
  </si>
  <si>
    <t>9:02-9:08</t>
  </si>
  <si>
    <t>9:21-9:22</t>
  </si>
  <si>
    <t>BPR breaker</t>
  </si>
  <si>
    <t>ATT IR off first OB</t>
  </si>
  <si>
    <t>YES WITH BETTER EXECUTION</t>
  </si>
  <si>
    <t>Good day lowkey but I shoulda won and I am baba overall.</t>
  </si>
  <si>
    <t>IR off TS OB</t>
  </si>
  <si>
    <t>9:03-9:05</t>
  </si>
  <si>
    <t>9:12-9:19</t>
  </si>
  <si>
    <t>9:25-9:26</t>
  </si>
  <si>
    <t>SMT ob IR continuation</t>
  </si>
  <si>
    <t>Bisi OB</t>
  </si>
  <si>
    <t>Att low</t>
  </si>
  <si>
    <t>9:30-9:39</t>
  </si>
  <si>
    <t>Literally just contination of bullish order, this is a bias only trade essentially</t>
  </si>
  <si>
    <t>Idek I have never really caught a trade like this, I am seeing price that really isn't giving any models and were so volatiles that Minis are just not the move, so I have to be better about that, the fees suck but its whatever. But really price didn’t give any good models to me, and thats the problem because I take this, I know price will probably continue long, its just I have fomo romo from not being permitted an entry so its hard. And then of course theres a great model 5m after my entry. Essentially I like retraces, and when you don't get retraces entires are scarce.</t>
  </si>
  <si>
    <t>TS, OB, ES NO OB, I THOUGHT SMT</t>
  </si>
  <si>
    <t>PXH IR</t>
  </si>
  <si>
    <t>SMT wick idek</t>
  </si>
  <si>
    <t>9:31-9:33</t>
  </si>
  <si>
    <t>This span right here is the WORST WEEK OF MY LIFE in trading and emotionality, probably not but its up there. I need to lock in my RISK MANAGAMENT WHEN FEAR AND VOLATILITY ENTERS THE MARKETPLACE, MY SYSTEM CAN NEVER FALTER LIKE THIS AGAIN.</t>
  </si>
  <si>
    <t>FUCK NO</t>
  </si>
  <si>
    <t>11:10-11:11</t>
  </si>
  <si>
    <t>13:12-13:14</t>
  </si>
  <si>
    <t>SMT ATT HIGH,</t>
  </si>
  <si>
    <t>8:38-8:39</t>
  </si>
  <si>
    <t>9:47-9:48</t>
  </si>
  <si>
    <t>OB HTF SIBI</t>
  </si>
  <si>
    <t xml:space="preserve">BISI </t>
  </si>
  <si>
    <t>Extremely mid day, this is better than losing TOO much though AS I DID on THIS FUCKING ACCOUNT  WITHOUT ANY REAL CHANCE OF SUCCESS. Just gotta be better mane.</t>
  </si>
  <si>
    <t>9:34-9:35</t>
  </si>
  <si>
    <t>Nothing at all</t>
  </si>
  <si>
    <t>Terrible day, it makes me wonder why I even try.</t>
  </si>
  <si>
    <t>10:56-10:57</t>
  </si>
  <si>
    <t>11:12-11:23</t>
  </si>
  <si>
    <t>12:28-12:29</t>
  </si>
  <si>
    <t>idek</t>
  </si>
  <si>
    <t>shit</t>
  </si>
  <si>
    <t>welp I guess that’s it.</t>
  </si>
  <si>
    <t>10:10-10:11</t>
  </si>
  <si>
    <t>Really if I get the re-entry this is a solid idea. Maybe if I trail breakeven far more aggressive and then catch the re-entry id have played it perfect.</t>
  </si>
  <si>
    <t>Terrible day I really cannot be losing on this typa day where so locked but yet so retarded. When the market offers you free money according to your system. TAKE IT.</t>
  </si>
  <si>
    <t>10:35-10:37</t>
  </si>
  <si>
    <t>IR on SMT OB Displacement</t>
  </si>
  <si>
    <t>Just another filler trade in bad time where I wake up late idek bro just unfortunate overall and yea I guess I shoulda just aped longs when I hopped on at like 10</t>
  </si>
  <si>
    <t>Breaker Bisi double wick</t>
  </si>
  <si>
    <t>If this day was actually a bullish trend day then this woulda been a banger</t>
  </si>
  <si>
    <t>9:43-9:44</t>
  </si>
  <si>
    <t>10:04-10:06</t>
  </si>
  <si>
    <t>Anticaptory</t>
  </si>
  <si>
    <t>OB, PXH, bullish order flow</t>
  </si>
  <si>
    <t>Close in sibi retrace</t>
  </si>
  <si>
    <t>idek man I really gotta stop with the bs and just trade. Last traded shoulda been 8R, I gotta be better I cannot be gettin cooked like that.</t>
  </si>
  <si>
    <t>tuff day many idk Idec anymore im so detatched when I start winning again it will deadass feel like nothing, I gotta lock in on so many other things though, I mean day trading just made me wake up early, drag myself til 10 oclock, and now I wake up and am finally going at 1:34. I need to get good sleep and be off ts by 10:05, holy.</t>
  </si>
  <si>
    <t>AutoLiq</t>
  </si>
  <si>
    <t>10:22-10:23</t>
  </si>
  <si>
    <t>10:23-10:25</t>
  </si>
  <si>
    <t>10:26-10:30</t>
  </si>
  <si>
    <t>reactive</t>
  </si>
  <si>
    <t xml:space="preserve">SMT IR </t>
  </si>
  <si>
    <t>Re-entry in wick</t>
  </si>
  <si>
    <t>IR off breaker and sibi formation</t>
  </si>
  <si>
    <t>samething^</t>
  </si>
  <si>
    <t>Rough ass day, Ive reached a new frontier though I cannot lose anymore because losing is not losing, believe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</si>
</sst>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6" fontId="0" fillId="0" borderId="0" xfId="0" applyNumberFormat="1"/>
    <xf numFmtId="2" fontId="0" fillId="0" borderId="0" xfId="0" applyNumberFormat="1"/>
    <xf numFmtId="20" fontId="0" fillId="0" borderId="0" xfId="0" applyNumberFormat="1" applyAlignment="1">
      <alignment horizontal="right"/>
    </xf>
    <xf numFmtId="0" fontId="0" fillId="0" borderId="0" xfId="0" applyAlignment="1">
      <alignment horizontal="right"/>
    </xf>
    <xf numFmtId="0" fontId="1" fillId="0" borderId="0" xfId="0" applyFont="1"/>
    <xf numFmtId="164" fontId="0" fillId="0" borderId="0" xfId="0" applyNumberFormat="1"/>
    <xf numFmtId="0" fontId="1" fillId="2" borderId="0" xfId="0" applyFont="1" applyFill="1"/>
    <xf numFmtId="10" fontId="0" fillId="0" borderId="0" xfId="0" applyNumberFormat="1"/>
    <xf numFmtId="20" fontId="0" fillId="0" borderId="0" xfId="0" applyNumberFormat="1"/>
    <xf numFmtId="0" fontId="0" fillId="2" borderId="0" xfId="0"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7C6F-5690-44C1-8331-631457B5927F}">
  <dimension ref="A1:AB177"/>
  <sheetViews>
    <sheetView tabSelected="1" topLeftCell="E158" zoomScaleNormal="100" workbookViewId="0">
      <selection activeCell="S175" sqref="S175"/>
    </sheetView>
  </sheetViews>
  <sheetFormatPr defaultRowHeight="15" x14ac:dyDescent="0.25"/>
  <cols>
    <col min="3" max="3" width="10.140625" customWidth="1"/>
    <col min="4" max="4" width="10.28515625" customWidth="1"/>
    <col min="10" max="10" width="11.28515625" customWidth="1"/>
    <col min="11" max="11" width="10.5703125" customWidth="1"/>
    <col min="13" max="13" width="23" customWidth="1"/>
    <col min="18" max="18" width="13.5703125" customWidth="1"/>
    <col min="19" max="19" width="19.7109375" customWidth="1"/>
  </cols>
  <sheetData>
    <row r="1" spans="1:19" x14ac:dyDescent="0.25">
      <c r="A1" t="s">
        <v>6</v>
      </c>
      <c r="B1" t="s">
        <v>5</v>
      </c>
      <c r="C1" t="s">
        <v>51</v>
      </c>
      <c r="D1" t="s">
        <v>12</v>
      </c>
      <c r="E1" t="s">
        <v>0</v>
      </c>
      <c r="F1" t="s">
        <v>1</v>
      </c>
      <c r="G1" t="s">
        <v>2</v>
      </c>
      <c r="H1" t="s">
        <v>13</v>
      </c>
      <c r="I1" t="s">
        <v>14</v>
      </c>
      <c r="J1" t="s">
        <v>29</v>
      </c>
      <c r="K1" t="s">
        <v>3</v>
      </c>
      <c r="L1" t="s">
        <v>15</v>
      </c>
      <c r="M1" t="s">
        <v>26</v>
      </c>
      <c r="N1" t="s">
        <v>4</v>
      </c>
      <c r="O1" t="s">
        <v>18</v>
      </c>
      <c r="P1" t="s">
        <v>19</v>
      </c>
      <c r="Q1" t="s">
        <v>20</v>
      </c>
      <c r="R1" t="s">
        <v>39</v>
      </c>
      <c r="S1" t="s">
        <v>33</v>
      </c>
    </row>
    <row r="2" spans="1:19" x14ac:dyDescent="0.25">
      <c r="A2" s="1">
        <v>45831</v>
      </c>
      <c r="B2" t="s">
        <v>7</v>
      </c>
      <c r="C2" t="s">
        <v>52</v>
      </c>
      <c r="D2" t="s">
        <v>173</v>
      </c>
      <c r="E2" s="7">
        <f>-1.2*20*10.75</f>
        <v>-258</v>
      </c>
      <c r="F2" s="5" t="s">
        <v>22</v>
      </c>
      <c r="G2">
        <v>258</v>
      </c>
      <c r="H2">
        <f>40.25*1.2*20</f>
        <v>966</v>
      </c>
      <c r="I2" s="2">
        <f>H2/G2</f>
        <v>3.7441860465116279</v>
      </c>
      <c r="J2" s="2">
        <f>E2/G2</f>
        <v>-1</v>
      </c>
      <c r="K2" s="3">
        <v>0.37291666666666667</v>
      </c>
      <c r="L2">
        <v>1</v>
      </c>
      <c r="M2" s="5" t="s">
        <v>31</v>
      </c>
      <c r="N2" t="s">
        <v>16</v>
      </c>
      <c r="O2" t="s">
        <v>17</v>
      </c>
      <c r="P2" t="s">
        <v>17</v>
      </c>
      <c r="Q2" t="s">
        <v>17</v>
      </c>
      <c r="R2" s="5" t="s">
        <v>17</v>
      </c>
      <c r="S2" t="s">
        <v>34</v>
      </c>
    </row>
    <row r="3" spans="1:19" x14ac:dyDescent="0.25">
      <c r="A3" s="1">
        <v>45831</v>
      </c>
      <c r="B3" t="s">
        <v>7</v>
      </c>
      <c r="C3" t="s">
        <v>52</v>
      </c>
      <c r="D3" t="s">
        <v>21</v>
      </c>
      <c r="E3" s="7">
        <f>1.2*2*20*-1</f>
        <v>-48</v>
      </c>
      <c r="F3" t="s">
        <v>23</v>
      </c>
      <c r="G3">
        <f>2.5*20*1.2</f>
        <v>60</v>
      </c>
      <c r="H3">
        <f>78*1.2*20</f>
        <v>1872</v>
      </c>
      <c r="I3" s="2">
        <f>H3/G3</f>
        <v>31.2</v>
      </c>
      <c r="J3" s="2">
        <f t="shared" ref="J3:J48" si="0">E3/G3</f>
        <v>-0.8</v>
      </c>
      <c r="K3" s="4" t="s">
        <v>27</v>
      </c>
      <c r="L3">
        <v>2</v>
      </c>
      <c r="M3" t="s">
        <v>30</v>
      </c>
      <c r="N3" t="s">
        <v>25</v>
      </c>
      <c r="O3" t="s">
        <v>24</v>
      </c>
      <c r="P3" t="s">
        <v>17</v>
      </c>
      <c r="Q3" t="s">
        <v>24</v>
      </c>
      <c r="R3" t="s">
        <v>17</v>
      </c>
      <c r="S3" t="s">
        <v>35</v>
      </c>
    </row>
    <row r="4" spans="1:19" x14ac:dyDescent="0.25">
      <c r="A4" s="1">
        <v>45831</v>
      </c>
      <c r="B4" t="s">
        <v>7</v>
      </c>
      <c r="C4" t="s">
        <v>52</v>
      </c>
      <c r="D4" t="s">
        <v>174</v>
      </c>
      <c r="E4" s="7">
        <f>3.5*1.2*20*-1</f>
        <v>-84</v>
      </c>
      <c r="F4" t="s">
        <v>23</v>
      </c>
      <c r="G4">
        <f>6*1.2*20</f>
        <v>144</v>
      </c>
      <c r="H4">
        <f>38.5*1.2*20</f>
        <v>923.99999999999989</v>
      </c>
      <c r="I4" s="2">
        <f>H4/G4</f>
        <v>6.4166666666666661</v>
      </c>
      <c r="J4" s="2">
        <f t="shared" si="0"/>
        <v>-0.58333333333333337</v>
      </c>
      <c r="K4" s="3">
        <v>0.3923611111111111</v>
      </c>
      <c r="L4">
        <v>1</v>
      </c>
      <c r="M4" t="s">
        <v>31</v>
      </c>
      <c r="N4" t="s">
        <v>25</v>
      </c>
      <c r="O4" t="s">
        <v>24</v>
      </c>
      <c r="P4" t="s">
        <v>24</v>
      </c>
      <c r="Q4" t="s">
        <v>17</v>
      </c>
      <c r="R4" t="s">
        <v>24</v>
      </c>
      <c r="S4" t="s">
        <v>36</v>
      </c>
    </row>
    <row r="5" spans="1:19" x14ac:dyDescent="0.25">
      <c r="A5" s="1">
        <v>45831</v>
      </c>
      <c r="B5" t="s">
        <v>7</v>
      </c>
      <c r="C5" t="s">
        <v>52</v>
      </c>
      <c r="D5" t="s">
        <v>28</v>
      </c>
      <c r="E5" s="5">
        <f>(96.75-85.85)*1.2*20</f>
        <v>261.60000000000014</v>
      </c>
      <c r="F5" t="s">
        <v>23</v>
      </c>
      <c r="G5">
        <f>6*1.2*20</f>
        <v>144</v>
      </c>
      <c r="H5">
        <f>38.5*1.2*20</f>
        <v>923.99999999999989</v>
      </c>
      <c r="I5" s="2">
        <f>H5/G5</f>
        <v>6.4166666666666661</v>
      </c>
      <c r="J5" s="2">
        <f t="shared" si="0"/>
        <v>1.8166666666666675</v>
      </c>
      <c r="K5" s="4" t="s">
        <v>32</v>
      </c>
      <c r="L5">
        <v>2</v>
      </c>
      <c r="M5" t="s">
        <v>30</v>
      </c>
      <c r="N5" t="s">
        <v>25</v>
      </c>
      <c r="O5" t="s">
        <v>24</v>
      </c>
      <c r="P5" t="s">
        <v>24</v>
      </c>
      <c r="Q5" t="s">
        <v>24</v>
      </c>
      <c r="R5" t="s">
        <v>17</v>
      </c>
      <c r="S5" t="s">
        <v>37</v>
      </c>
    </row>
    <row r="6" spans="1:19" x14ac:dyDescent="0.25">
      <c r="A6" s="1">
        <v>45832</v>
      </c>
      <c r="B6" t="s">
        <v>8</v>
      </c>
      <c r="C6" t="s">
        <v>52</v>
      </c>
      <c r="D6" t="s">
        <v>173</v>
      </c>
      <c r="E6" s="7">
        <f>-1*10.25*20*0.9</f>
        <v>-184.5</v>
      </c>
      <c r="F6" t="s">
        <v>23</v>
      </c>
      <c r="G6">
        <v>184.5</v>
      </c>
      <c r="H6">
        <f>42.75*0.9*20</f>
        <v>769.5</v>
      </c>
      <c r="I6" s="2">
        <f t="shared" ref="I6:I51" si="1">H6/G6</f>
        <v>4.1707317073170733</v>
      </c>
      <c r="J6" s="2">
        <f t="shared" si="0"/>
        <v>-1</v>
      </c>
      <c r="K6" s="3" t="s">
        <v>38</v>
      </c>
      <c r="L6">
        <v>2</v>
      </c>
      <c r="M6" t="s">
        <v>31</v>
      </c>
      <c r="N6" t="s">
        <v>40</v>
      </c>
      <c r="O6" t="s">
        <v>24</v>
      </c>
      <c r="P6" t="s">
        <v>17</v>
      </c>
      <c r="Q6" t="s">
        <v>17</v>
      </c>
      <c r="R6" t="s">
        <v>24</v>
      </c>
      <c r="S6" t="s">
        <v>41</v>
      </c>
    </row>
    <row r="7" spans="1:19" x14ac:dyDescent="0.25">
      <c r="A7" s="1">
        <v>45833</v>
      </c>
      <c r="B7" t="s">
        <v>9</v>
      </c>
      <c r="C7" t="s">
        <v>52</v>
      </c>
      <c r="D7" t="s">
        <v>148</v>
      </c>
      <c r="E7" s="5">
        <v>570</v>
      </c>
      <c r="F7" t="s">
        <v>23</v>
      </c>
      <c r="G7">
        <f>160*1.2</f>
        <v>192</v>
      </c>
      <c r="H7">
        <f>23.75*20*1.2</f>
        <v>570</v>
      </c>
      <c r="I7" s="2">
        <f t="shared" si="1"/>
        <v>2.96875</v>
      </c>
      <c r="J7" s="2">
        <f t="shared" si="0"/>
        <v>2.96875</v>
      </c>
      <c r="K7" s="4" t="s">
        <v>44</v>
      </c>
      <c r="L7">
        <v>3</v>
      </c>
      <c r="M7" t="s">
        <v>30</v>
      </c>
      <c r="N7" t="s">
        <v>42</v>
      </c>
      <c r="O7" t="s">
        <v>17</v>
      </c>
      <c r="P7" t="s">
        <v>24</v>
      </c>
      <c r="Q7" t="s">
        <v>17</v>
      </c>
      <c r="R7" t="s">
        <v>17</v>
      </c>
      <c r="S7" t="s">
        <v>43</v>
      </c>
    </row>
    <row r="8" spans="1:19" x14ac:dyDescent="0.25">
      <c r="A8" s="1">
        <v>45834</v>
      </c>
      <c r="B8" t="s">
        <v>10</v>
      </c>
      <c r="C8" t="s">
        <v>52</v>
      </c>
      <c r="D8" t="s">
        <v>28</v>
      </c>
      <c r="E8" s="5">
        <f>6*20*1.2</f>
        <v>144</v>
      </c>
      <c r="F8" t="s">
        <v>23</v>
      </c>
      <c r="G8">
        <v>200</v>
      </c>
      <c r="H8" t="s">
        <v>46</v>
      </c>
      <c r="I8" s="2" t="s">
        <v>50</v>
      </c>
      <c r="J8" s="2">
        <f t="shared" si="0"/>
        <v>0.72</v>
      </c>
      <c r="K8" s="3" t="s">
        <v>47</v>
      </c>
      <c r="L8">
        <v>2</v>
      </c>
      <c r="M8" t="s">
        <v>31</v>
      </c>
      <c r="N8" t="s">
        <v>49</v>
      </c>
      <c r="P8" t="s">
        <v>17</v>
      </c>
      <c r="Q8" t="s">
        <v>24</v>
      </c>
      <c r="R8" t="s">
        <v>24</v>
      </c>
      <c r="S8" t="s">
        <v>48</v>
      </c>
    </row>
    <row r="9" spans="1:19" x14ac:dyDescent="0.25">
      <c r="A9" s="1">
        <v>45834</v>
      </c>
      <c r="B9" t="s">
        <v>10</v>
      </c>
      <c r="C9" t="s">
        <v>53</v>
      </c>
      <c r="D9" t="s">
        <v>28</v>
      </c>
      <c r="E9" s="5">
        <f>0.7*5*23</f>
        <v>80.5</v>
      </c>
      <c r="F9" t="s">
        <v>23</v>
      </c>
      <c r="G9">
        <f>0.7*55</f>
        <v>38.5</v>
      </c>
      <c r="H9">
        <v>280</v>
      </c>
      <c r="I9" s="2">
        <f>H9/G9</f>
        <v>7.2727272727272725</v>
      </c>
      <c r="J9" s="2">
        <f>E9/G9</f>
        <v>2.0909090909090908</v>
      </c>
      <c r="K9" s="4" t="s">
        <v>54</v>
      </c>
      <c r="L9">
        <v>21</v>
      </c>
      <c r="M9" t="s">
        <v>30</v>
      </c>
      <c r="N9" t="s">
        <v>55</v>
      </c>
      <c r="S9" t="s">
        <v>56</v>
      </c>
    </row>
    <row r="10" spans="1:19" x14ac:dyDescent="0.25">
      <c r="A10" s="1">
        <v>45834</v>
      </c>
      <c r="B10" t="s">
        <v>10</v>
      </c>
      <c r="C10" t="s">
        <v>52</v>
      </c>
      <c r="D10" t="s">
        <v>28</v>
      </c>
      <c r="E10" s="5">
        <f>6*20</f>
        <v>120</v>
      </c>
      <c r="F10" t="s">
        <v>23</v>
      </c>
      <c r="G10">
        <v>40</v>
      </c>
      <c r="H10">
        <f>27.5*20</f>
        <v>550</v>
      </c>
      <c r="I10" s="2">
        <f>H10/G10</f>
        <v>13.75</v>
      </c>
      <c r="J10" s="2">
        <f>E10/G10</f>
        <v>3</v>
      </c>
      <c r="K10" s="3" t="s">
        <v>58</v>
      </c>
      <c r="L10">
        <v>7</v>
      </c>
      <c r="M10" t="s">
        <v>30</v>
      </c>
      <c r="N10" t="s">
        <v>59</v>
      </c>
      <c r="O10" t="s">
        <v>24</v>
      </c>
      <c r="P10" t="s">
        <v>24</v>
      </c>
      <c r="Q10" t="s">
        <v>24</v>
      </c>
      <c r="R10" t="s">
        <v>17</v>
      </c>
      <c r="S10" t="s">
        <v>60</v>
      </c>
    </row>
    <row r="11" spans="1:19" x14ac:dyDescent="0.25">
      <c r="A11" s="1">
        <v>45835</v>
      </c>
      <c r="B11" t="s">
        <v>11</v>
      </c>
      <c r="C11" t="s">
        <v>52</v>
      </c>
      <c r="D11" t="s">
        <v>148</v>
      </c>
      <c r="E11" s="5">
        <f>1.2*20*43.25</f>
        <v>1038</v>
      </c>
      <c r="F11" s="5" t="s">
        <v>22</v>
      </c>
      <c r="G11">
        <f>1.2*7*20</f>
        <v>168</v>
      </c>
      <c r="H11">
        <v>1038</v>
      </c>
      <c r="I11" s="2">
        <f t="shared" si="1"/>
        <v>6.1785714285714288</v>
      </c>
      <c r="J11" s="2">
        <f t="shared" si="0"/>
        <v>6.1785714285714288</v>
      </c>
      <c r="K11" s="4" t="s">
        <v>61</v>
      </c>
      <c r="L11">
        <v>9</v>
      </c>
      <c r="M11" t="s">
        <v>30</v>
      </c>
      <c r="N11" t="s">
        <v>62</v>
      </c>
      <c r="O11" t="s">
        <v>17</v>
      </c>
      <c r="P11" t="s">
        <v>17</v>
      </c>
      <c r="Q11" t="s">
        <v>24</v>
      </c>
      <c r="R11" t="s">
        <v>17</v>
      </c>
      <c r="S11" t="s">
        <v>63</v>
      </c>
    </row>
    <row r="12" spans="1:19" x14ac:dyDescent="0.25">
      <c r="A12" s="1">
        <v>45838</v>
      </c>
      <c r="B12" t="s">
        <v>7</v>
      </c>
      <c r="C12" t="s">
        <v>52</v>
      </c>
      <c r="D12" t="s">
        <v>148</v>
      </c>
      <c r="E12" s="5">
        <f>34.25*0.6*20</f>
        <v>411</v>
      </c>
      <c r="F12" t="s">
        <v>23</v>
      </c>
      <c r="G12">
        <f>16.75*20*0.6</f>
        <v>201</v>
      </c>
      <c r="H12">
        <v>411</v>
      </c>
      <c r="I12" s="2">
        <f t="shared" si="1"/>
        <v>2.044776119402985</v>
      </c>
      <c r="J12" s="2">
        <f t="shared" si="0"/>
        <v>2.044776119402985</v>
      </c>
      <c r="K12" s="3" t="s">
        <v>64</v>
      </c>
      <c r="L12">
        <v>9</v>
      </c>
      <c r="M12" t="s">
        <v>30</v>
      </c>
      <c r="N12" t="s">
        <v>65</v>
      </c>
      <c r="O12" t="s">
        <v>17</v>
      </c>
      <c r="P12" t="s">
        <v>17</v>
      </c>
      <c r="Q12" t="s">
        <v>17</v>
      </c>
      <c r="R12" t="s">
        <v>66</v>
      </c>
      <c r="S12" t="s">
        <v>67</v>
      </c>
    </row>
    <row r="13" spans="1:19" x14ac:dyDescent="0.25">
      <c r="A13" s="1">
        <v>45840</v>
      </c>
      <c r="B13" t="s">
        <v>9</v>
      </c>
      <c r="C13" t="s">
        <v>52</v>
      </c>
      <c r="D13" t="s">
        <v>57</v>
      </c>
      <c r="E13" s="5">
        <f>1.33*20</f>
        <v>26.6</v>
      </c>
      <c r="F13" s="5" t="s">
        <v>22</v>
      </c>
      <c r="G13">
        <v>210</v>
      </c>
      <c r="H13">
        <f>35.75*20</f>
        <v>715</v>
      </c>
      <c r="I13" s="2">
        <f t="shared" si="1"/>
        <v>3.4047619047619047</v>
      </c>
      <c r="J13" s="2">
        <f t="shared" si="0"/>
        <v>0.12666666666666668</v>
      </c>
      <c r="K13" s="4" t="s">
        <v>68</v>
      </c>
      <c r="L13">
        <v>5</v>
      </c>
      <c r="M13" t="s">
        <v>31</v>
      </c>
      <c r="N13" t="s">
        <v>69</v>
      </c>
      <c r="O13" t="s">
        <v>17</v>
      </c>
      <c r="P13" t="s">
        <v>24</v>
      </c>
      <c r="Q13" t="s">
        <v>24</v>
      </c>
      <c r="R13" t="s">
        <v>17</v>
      </c>
      <c r="S13" t="s">
        <v>70</v>
      </c>
    </row>
    <row r="14" spans="1:19" x14ac:dyDescent="0.25">
      <c r="A14" s="1">
        <v>45840</v>
      </c>
      <c r="B14" t="s">
        <v>9</v>
      </c>
      <c r="C14" t="s">
        <v>52</v>
      </c>
      <c r="D14" t="s">
        <v>173</v>
      </c>
      <c r="E14" s="7">
        <f>9*0.8*20*-1</f>
        <v>-144</v>
      </c>
      <c r="F14" t="s">
        <v>23</v>
      </c>
      <c r="G14">
        <v>144</v>
      </c>
      <c r="H14">
        <f>21.75*0.8*20</f>
        <v>348.00000000000006</v>
      </c>
      <c r="I14" s="2">
        <f t="shared" si="1"/>
        <v>2.416666666666667</v>
      </c>
      <c r="J14" s="2">
        <f t="shared" si="0"/>
        <v>-1</v>
      </c>
      <c r="K14" s="3" t="s">
        <v>71</v>
      </c>
      <c r="L14">
        <v>4</v>
      </c>
      <c r="M14" t="s">
        <v>31</v>
      </c>
      <c r="N14" t="s">
        <v>72</v>
      </c>
      <c r="O14" t="s">
        <v>24</v>
      </c>
      <c r="P14" t="s">
        <v>17</v>
      </c>
      <c r="Q14" t="s">
        <v>17</v>
      </c>
      <c r="R14" t="s">
        <v>24</v>
      </c>
      <c r="S14" t="s">
        <v>73</v>
      </c>
    </row>
    <row r="15" spans="1:19" x14ac:dyDescent="0.25">
      <c r="A15" s="1">
        <v>45840</v>
      </c>
      <c r="B15" t="s">
        <v>9</v>
      </c>
      <c r="C15" t="s">
        <v>52</v>
      </c>
      <c r="D15" t="s">
        <v>173</v>
      </c>
      <c r="E15" s="7">
        <f>-1*1.1*15*20</f>
        <v>-330</v>
      </c>
      <c r="F15" t="s">
        <v>23</v>
      </c>
      <c r="G15">
        <v>330</v>
      </c>
      <c r="H15">
        <f>68.5*1.1*20</f>
        <v>1507.0000000000002</v>
      </c>
      <c r="I15" s="2">
        <f t="shared" si="1"/>
        <v>4.5666666666666673</v>
      </c>
      <c r="J15" s="2">
        <f t="shared" si="0"/>
        <v>-1</v>
      </c>
      <c r="K15" s="4" t="s">
        <v>74</v>
      </c>
      <c r="L15">
        <v>2</v>
      </c>
      <c r="M15" t="s">
        <v>31</v>
      </c>
      <c r="N15" t="s">
        <v>75</v>
      </c>
      <c r="O15" t="s">
        <v>24</v>
      </c>
      <c r="P15" t="s">
        <v>17</v>
      </c>
      <c r="Q15" t="s">
        <v>17</v>
      </c>
      <c r="R15" t="s">
        <v>24</v>
      </c>
    </row>
    <row r="16" spans="1:19" x14ac:dyDescent="0.25">
      <c r="A16" s="1">
        <v>45840</v>
      </c>
      <c r="B16" t="s">
        <v>9</v>
      </c>
      <c r="C16" t="s">
        <v>52</v>
      </c>
      <c r="D16" t="s">
        <v>21</v>
      </c>
      <c r="E16" s="7">
        <f>1.1*4*20*-1</f>
        <v>-88</v>
      </c>
      <c r="F16" t="s">
        <v>23</v>
      </c>
      <c r="G16">
        <v>88</v>
      </c>
      <c r="H16">
        <f>68.5*1.1*20</f>
        <v>1507.0000000000002</v>
      </c>
      <c r="I16" s="2">
        <f t="shared" si="1"/>
        <v>17.125000000000004</v>
      </c>
      <c r="J16" s="2">
        <f t="shared" si="0"/>
        <v>-1</v>
      </c>
      <c r="K16" s="3" t="s">
        <v>78</v>
      </c>
      <c r="L16">
        <v>4</v>
      </c>
      <c r="M16" t="s">
        <v>31</v>
      </c>
      <c r="N16" t="s">
        <v>76</v>
      </c>
      <c r="O16" t="s">
        <v>24</v>
      </c>
      <c r="P16" t="s">
        <v>24</v>
      </c>
      <c r="Q16" t="s">
        <v>24</v>
      </c>
      <c r="R16" t="s">
        <v>24</v>
      </c>
      <c r="S16" t="s">
        <v>77</v>
      </c>
    </row>
    <row r="17" spans="1:19" x14ac:dyDescent="0.25">
      <c r="A17" s="1">
        <v>45841</v>
      </c>
      <c r="B17" t="s">
        <v>10</v>
      </c>
      <c r="C17" t="s">
        <v>52</v>
      </c>
      <c r="D17" t="s">
        <v>173</v>
      </c>
      <c r="E17" s="7">
        <f>1.1*8*20*-1</f>
        <v>-176</v>
      </c>
      <c r="F17" t="s">
        <v>23</v>
      </c>
      <c r="G17">
        <v>176</v>
      </c>
      <c r="H17">
        <f>1.1*31*20</f>
        <v>682</v>
      </c>
      <c r="I17" s="2">
        <f t="shared" si="1"/>
        <v>3.875</v>
      </c>
      <c r="J17" s="2">
        <f t="shared" si="0"/>
        <v>-1</v>
      </c>
      <c r="K17" s="3">
        <v>0.4</v>
      </c>
      <c r="L17">
        <v>1</v>
      </c>
      <c r="M17" t="s">
        <v>31</v>
      </c>
      <c r="N17" t="s">
        <v>79</v>
      </c>
      <c r="O17" t="s">
        <v>24</v>
      </c>
      <c r="P17" t="s">
        <v>17</v>
      </c>
      <c r="Q17" t="s">
        <v>17</v>
      </c>
      <c r="R17" t="s">
        <v>24</v>
      </c>
      <c r="S17" t="s">
        <v>80</v>
      </c>
    </row>
    <row r="18" spans="1:19" x14ac:dyDescent="0.25">
      <c r="A18" s="1">
        <v>45845</v>
      </c>
      <c r="B18" t="s">
        <v>7</v>
      </c>
      <c r="C18" t="s">
        <v>52</v>
      </c>
      <c r="D18" t="s">
        <v>173</v>
      </c>
      <c r="E18" s="7">
        <f>-1*1.1*20*6.25</f>
        <v>-137.5</v>
      </c>
      <c r="F18" t="s">
        <v>23</v>
      </c>
      <c r="G18">
        <v>137.5</v>
      </c>
      <c r="H18">
        <f>50.25*1.1*20</f>
        <v>1105.5</v>
      </c>
      <c r="I18" s="2">
        <f t="shared" si="1"/>
        <v>8.0399999999999991</v>
      </c>
      <c r="J18" s="2">
        <f t="shared" si="0"/>
        <v>-1</v>
      </c>
      <c r="K18" s="3" t="s">
        <v>81</v>
      </c>
      <c r="L18">
        <v>2</v>
      </c>
      <c r="M18" t="s">
        <v>31</v>
      </c>
      <c r="N18" t="s">
        <v>82</v>
      </c>
      <c r="O18" t="s">
        <v>17</v>
      </c>
      <c r="P18" t="s">
        <v>17</v>
      </c>
      <c r="Q18" t="s">
        <v>24</v>
      </c>
      <c r="R18" t="s">
        <v>24</v>
      </c>
      <c r="S18" t="s">
        <v>83</v>
      </c>
    </row>
    <row r="19" spans="1:19" x14ac:dyDescent="0.25">
      <c r="A19" s="1">
        <v>45846</v>
      </c>
      <c r="B19" t="s">
        <v>8</v>
      </c>
      <c r="C19" t="s">
        <v>52</v>
      </c>
      <c r="D19" t="s">
        <v>173</v>
      </c>
      <c r="E19" s="7">
        <f>3*20*-1</f>
        <v>-60</v>
      </c>
      <c r="F19" t="s">
        <v>23</v>
      </c>
      <c r="G19">
        <v>60</v>
      </c>
      <c r="H19">
        <f>18.25*20</f>
        <v>365</v>
      </c>
      <c r="I19" s="2" t="e">
        <f>#REF!/H19</f>
        <v>#REF!</v>
      </c>
      <c r="J19" s="2">
        <f>E19/H19</f>
        <v>-0.16438356164383561</v>
      </c>
      <c r="K19" s="3">
        <v>0.66041666666666665</v>
      </c>
      <c r="L19">
        <v>1</v>
      </c>
      <c r="M19" s="5" t="s">
        <v>31</v>
      </c>
      <c r="N19" t="s">
        <v>84</v>
      </c>
      <c r="O19" t="s">
        <v>24</v>
      </c>
      <c r="P19" t="s">
        <v>24</v>
      </c>
      <c r="Q19" t="s">
        <v>17</v>
      </c>
      <c r="R19" s="5" t="s">
        <v>17</v>
      </c>
      <c r="S19" t="s">
        <v>85</v>
      </c>
    </row>
    <row r="20" spans="1:19" x14ac:dyDescent="0.25">
      <c r="A20" s="1">
        <v>45852</v>
      </c>
      <c r="B20" t="s">
        <v>7</v>
      </c>
      <c r="C20" t="s">
        <v>52</v>
      </c>
      <c r="D20" t="s">
        <v>173</v>
      </c>
      <c r="E20" s="7">
        <f>12.25*0.8*20*-1</f>
        <v>-196</v>
      </c>
      <c r="F20" t="s">
        <v>23</v>
      </c>
      <c r="G20">
        <v>196</v>
      </c>
      <c r="H20">
        <f>42.25*20*0.8</f>
        <v>676</v>
      </c>
      <c r="I20" s="2">
        <f t="shared" si="1"/>
        <v>3.4489795918367347</v>
      </c>
      <c r="J20" s="2">
        <f t="shared" si="0"/>
        <v>-1</v>
      </c>
      <c r="K20" s="3" t="s">
        <v>86</v>
      </c>
      <c r="L20">
        <v>8</v>
      </c>
      <c r="M20" t="s">
        <v>87</v>
      </c>
      <c r="N20" t="s">
        <v>59</v>
      </c>
      <c r="O20" t="s">
        <v>24</v>
      </c>
      <c r="P20" t="s">
        <v>17</v>
      </c>
      <c r="Q20" t="s">
        <v>17</v>
      </c>
      <c r="R20" t="s">
        <v>17</v>
      </c>
      <c r="S20" t="s">
        <v>89</v>
      </c>
    </row>
    <row r="21" spans="1:19" x14ac:dyDescent="0.25">
      <c r="A21" s="1">
        <v>45852</v>
      </c>
      <c r="B21" t="s">
        <v>7</v>
      </c>
      <c r="C21" t="s">
        <v>52</v>
      </c>
      <c r="D21" t="s">
        <v>173</v>
      </c>
      <c r="E21" s="7">
        <f>7.75*20*1.2*-1</f>
        <v>-186</v>
      </c>
      <c r="F21" t="s">
        <v>23</v>
      </c>
      <c r="G21">
        <v>186</v>
      </c>
      <c r="H21">
        <f>43.5*20*1.2</f>
        <v>1044</v>
      </c>
      <c r="I21" s="2">
        <f t="shared" si="1"/>
        <v>5.612903225806452</v>
      </c>
      <c r="J21" s="2">
        <f t="shared" si="0"/>
        <v>-1</v>
      </c>
      <c r="K21" s="3" t="s">
        <v>88</v>
      </c>
      <c r="L21">
        <v>3</v>
      </c>
      <c r="M21" t="s">
        <v>30</v>
      </c>
      <c r="N21" t="s">
        <v>59</v>
      </c>
      <c r="O21" t="s">
        <v>24</v>
      </c>
      <c r="P21" t="s">
        <v>24</v>
      </c>
      <c r="Q21" t="s">
        <v>17</v>
      </c>
      <c r="R21" t="s">
        <v>24</v>
      </c>
      <c r="S21" t="s">
        <v>90</v>
      </c>
    </row>
    <row r="22" spans="1:19" x14ac:dyDescent="0.25">
      <c r="A22" s="1">
        <v>45853</v>
      </c>
      <c r="B22" t="s">
        <v>8</v>
      </c>
      <c r="C22" t="s">
        <v>91</v>
      </c>
      <c r="D22" t="s">
        <v>92</v>
      </c>
      <c r="E22" s="5">
        <f>9.5*50</f>
        <v>475</v>
      </c>
      <c r="F22" t="s">
        <v>23</v>
      </c>
      <c r="G22">
        <f>1.5*50</f>
        <v>75</v>
      </c>
      <c r="H22">
        <v>625</v>
      </c>
      <c r="I22" s="2">
        <f t="shared" si="1"/>
        <v>8.3333333333333339</v>
      </c>
      <c r="J22" s="2">
        <f t="shared" si="0"/>
        <v>6.333333333333333</v>
      </c>
      <c r="K22" s="3" t="s">
        <v>93</v>
      </c>
      <c r="L22">
        <v>20</v>
      </c>
      <c r="M22" s="5" t="s">
        <v>31</v>
      </c>
      <c r="N22" t="s">
        <v>59</v>
      </c>
      <c r="O22" t="s">
        <v>17</v>
      </c>
      <c r="P22" t="s">
        <v>24</v>
      </c>
      <c r="Q22" t="s">
        <v>24</v>
      </c>
      <c r="R22" s="5" t="s">
        <v>17</v>
      </c>
      <c r="S22" t="s">
        <v>94</v>
      </c>
    </row>
    <row r="23" spans="1:19" x14ac:dyDescent="0.25">
      <c r="A23" s="1">
        <v>45854</v>
      </c>
      <c r="B23" t="s">
        <v>9</v>
      </c>
      <c r="C23" t="s">
        <v>52</v>
      </c>
      <c r="D23" t="s">
        <v>148</v>
      </c>
      <c r="E23" s="5">
        <f>43.5*0.7*20 +23.5*20*0.7</f>
        <v>938</v>
      </c>
      <c r="F23" t="s">
        <v>23</v>
      </c>
      <c r="G23">
        <f>10.25*0.7*20</f>
        <v>143.5</v>
      </c>
      <c r="H23">
        <f>0.7*20*44.5</f>
        <v>623</v>
      </c>
      <c r="I23" s="2">
        <f t="shared" si="1"/>
        <v>4.3414634146341466</v>
      </c>
      <c r="J23" s="2">
        <f t="shared" si="0"/>
        <v>6.5365853658536581</v>
      </c>
      <c r="K23" s="3" t="s">
        <v>95</v>
      </c>
      <c r="L23">
        <v>12</v>
      </c>
      <c r="M23" t="s">
        <v>30</v>
      </c>
      <c r="N23" t="s">
        <v>96</v>
      </c>
      <c r="O23" t="s">
        <v>17</v>
      </c>
      <c r="P23" t="s">
        <v>24</v>
      </c>
      <c r="Q23" t="s">
        <v>17</v>
      </c>
      <c r="R23" t="s">
        <v>17</v>
      </c>
      <c r="S23" t="s">
        <v>97</v>
      </c>
    </row>
    <row r="24" spans="1:19" x14ac:dyDescent="0.25">
      <c r="A24" s="1">
        <v>45855</v>
      </c>
      <c r="B24" t="s">
        <v>10</v>
      </c>
      <c r="C24" t="s">
        <v>52</v>
      </c>
      <c r="D24" t="s">
        <v>21</v>
      </c>
      <c r="E24" s="7">
        <f>0.9*20*1.5*-1</f>
        <v>-27</v>
      </c>
      <c r="F24" s="5" t="s">
        <v>22</v>
      </c>
      <c r="G24">
        <v>27</v>
      </c>
      <c r="H24">
        <f>0.9*20*30</f>
        <v>540</v>
      </c>
      <c r="I24" s="2">
        <f t="shared" si="1"/>
        <v>20</v>
      </c>
      <c r="J24" s="2">
        <f t="shared" si="0"/>
        <v>-1</v>
      </c>
      <c r="K24" s="3" t="s">
        <v>98</v>
      </c>
      <c r="L24">
        <v>2</v>
      </c>
      <c r="M24" t="s">
        <v>30</v>
      </c>
      <c r="N24" t="s">
        <v>59</v>
      </c>
      <c r="O24" t="s">
        <v>17</v>
      </c>
      <c r="P24" t="s">
        <v>24</v>
      </c>
      <c r="Q24" t="s">
        <v>17</v>
      </c>
      <c r="R24" t="s">
        <v>17</v>
      </c>
      <c r="S24" t="s">
        <v>99</v>
      </c>
    </row>
    <row r="25" spans="1:19" x14ac:dyDescent="0.25">
      <c r="A25" s="1">
        <v>45855</v>
      </c>
      <c r="B25" t="s">
        <v>10</v>
      </c>
      <c r="C25" t="s">
        <v>52</v>
      </c>
      <c r="D25" t="s">
        <v>148</v>
      </c>
      <c r="E25" s="5">
        <f>0.9*20*54.75+0.3*20*25.75</f>
        <v>1140</v>
      </c>
      <c r="F25" t="s">
        <v>23</v>
      </c>
      <c r="G25">
        <f>1.2*20*6.25</f>
        <v>150</v>
      </c>
      <c r="H25">
        <f>1.2*20*54.75</f>
        <v>1314</v>
      </c>
      <c r="I25" s="2">
        <f t="shared" si="1"/>
        <v>8.76</v>
      </c>
      <c r="J25" s="2">
        <f t="shared" si="0"/>
        <v>7.6</v>
      </c>
      <c r="K25" s="3" t="s">
        <v>100</v>
      </c>
      <c r="L25">
        <v>22</v>
      </c>
      <c r="M25" t="s">
        <v>30</v>
      </c>
      <c r="N25" t="s">
        <v>59</v>
      </c>
      <c r="O25" t="s">
        <v>17</v>
      </c>
      <c r="P25" t="s">
        <v>24</v>
      </c>
      <c r="Q25" t="s">
        <v>24</v>
      </c>
      <c r="R25" t="s">
        <v>17</v>
      </c>
      <c r="S25" t="s">
        <v>101</v>
      </c>
    </row>
    <row r="26" spans="1:19" x14ac:dyDescent="0.25">
      <c r="A26" s="1">
        <v>45856</v>
      </c>
      <c r="B26" t="s">
        <v>11</v>
      </c>
      <c r="C26" t="s">
        <v>52</v>
      </c>
      <c r="D26" t="s">
        <v>21</v>
      </c>
      <c r="E26" s="7">
        <f>-1*0.6*9*20 +-1*0.3*20*15.25</f>
        <v>-199.5</v>
      </c>
      <c r="F26" t="s">
        <v>23</v>
      </c>
      <c r="G26">
        <f>0.6*20*21.5</f>
        <v>258</v>
      </c>
      <c r="H26">
        <f>66.25*0.6*20</f>
        <v>795</v>
      </c>
      <c r="I26" s="2">
        <f t="shared" si="1"/>
        <v>3.0813953488372094</v>
      </c>
      <c r="J26" s="2">
        <f t="shared" si="0"/>
        <v>-0.77325581395348841</v>
      </c>
      <c r="K26" s="3" t="s">
        <v>102</v>
      </c>
      <c r="L26">
        <v>12</v>
      </c>
      <c r="M26" t="s">
        <v>30</v>
      </c>
      <c r="N26" t="s">
        <v>96</v>
      </c>
      <c r="O26" t="s">
        <v>17</v>
      </c>
      <c r="P26" t="s">
        <v>24</v>
      </c>
      <c r="Q26" t="s">
        <v>24</v>
      </c>
      <c r="R26" t="s">
        <v>17</v>
      </c>
      <c r="S26" t="s">
        <v>103</v>
      </c>
    </row>
    <row r="27" spans="1:19" x14ac:dyDescent="0.25">
      <c r="A27" s="1">
        <v>45859</v>
      </c>
      <c r="B27" t="s">
        <v>7</v>
      </c>
      <c r="C27" t="s">
        <v>52</v>
      </c>
      <c r="D27" t="s">
        <v>148</v>
      </c>
      <c r="E27" s="5">
        <f>58.5*20*0.7</f>
        <v>819</v>
      </c>
      <c r="F27" s="5" t="s">
        <v>22</v>
      </c>
      <c r="G27">
        <f>8*20*0.7</f>
        <v>112</v>
      </c>
      <c r="H27">
        <f>57.5*20*0.7</f>
        <v>805</v>
      </c>
      <c r="I27" s="2">
        <f t="shared" si="1"/>
        <v>7.1875</v>
      </c>
      <c r="J27" s="2">
        <f t="shared" si="0"/>
        <v>7.3125</v>
      </c>
      <c r="K27" s="3" t="s">
        <v>104</v>
      </c>
      <c r="L27">
        <v>15</v>
      </c>
      <c r="M27" t="s">
        <v>30</v>
      </c>
      <c r="N27" t="s">
        <v>105</v>
      </c>
      <c r="O27" t="s">
        <v>17</v>
      </c>
      <c r="P27" t="s">
        <v>24</v>
      </c>
      <c r="Q27" t="s">
        <v>24</v>
      </c>
      <c r="R27" t="s">
        <v>17</v>
      </c>
      <c r="S27" t="s">
        <v>106</v>
      </c>
    </row>
    <row r="28" spans="1:19" x14ac:dyDescent="0.25">
      <c r="A28" s="1">
        <v>45859</v>
      </c>
      <c r="B28" t="s">
        <v>7</v>
      </c>
      <c r="C28" t="s">
        <v>52</v>
      </c>
      <c r="D28" t="s">
        <v>173</v>
      </c>
      <c r="E28" s="7">
        <f>-1*11.75*0.7*20</f>
        <v>-164.5</v>
      </c>
      <c r="F28" s="5" t="s">
        <v>22</v>
      </c>
      <c r="G28">
        <v>164.5</v>
      </c>
      <c r="H28">
        <v>560</v>
      </c>
      <c r="I28" s="2">
        <f t="shared" si="1"/>
        <v>3.4042553191489362</v>
      </c>
      <c r="J28" s="2">
        <f>E28/G28</f>
        <v>-1</v>
      </c>
      <c r="K28" s="3" t="s">
        <v>107</v>
      </c>
      <c r="L28">
        <v>2</v>
      </c>
      <c r="M28" t="s">
        <v>31</v>
      </c>
      <c r="N28" t="s">
        <v>75</v>
      </c>
      <c r="O28" t="s">
        <v>17</v>
      </c>
      <c r="P28" t="s">
        <v>17</v>
      </c>
      <c r="Q28" t="s">
        <v>17</v>
      </c>
      <c r="R28" t="s">
        <v>24</v>
      </c>
      <c r="S28" t="s">
        <v>108</v>
      </c>
    </row>
    <row r="29" spans="1:19" x14ac:dyDescent="0.25">
      <c r="A29" s="1">
        <v>45860</v>
      </c>
      <c r="B29" t="s">
        <v>8</v>
      </c>
      <c r="C29" t="s">
        <v>52</v>
      </c>
      <c r="D29" t="s">
        <v>173</v>
      </c>
      <c r="E29" s="7">
        <f>-1*12*0.9*20</f>
        <v>-216</v>
      </c>
      <c r="F29" t="s">
        <v>23</v>
      </c>
      <c r="G29">
        <v>216</v>
      </c>
      <c r="H29">
        <f>0.9*68*20</f>
        <v>1224</v>
      </c>
      <c r="I29" s="2">
        <f t="shared" si="1"/>
        <v>5.666666666666667</v>
      </c>
      <c r="J29" s="2">
        <f>E29/G29</f>
        <v>-1</v>
      </c>
      <c r="K29" s="3" t="s">
        <v>109</v>
      </c>
      <c r="L29">
        <v>14</v>
      </c>
      <c r="M29" t="s">
        <v>31</v>
      </c>
      <c r="N29" t="s">
        <v>75</v>
      </c>
      <c r="O29" t="s">
        <v>17</v>
      </c>
      <c r="P29" t="s">
        <v>110</v>
      </c>
      <c r="Q29" t="s">
        <v>110</v>
      </c>
      <c r="R29" t="s">
        <v>111</v>
      </c>
      <c r="S29" t="s">
        <v>112</v>
      </c>
    </row>
    <row r="30" spans="1:19" x14ac:dyDescent="0.25">
      <c r="A30" s="1">
        <v>45860</v>
      </c>
      <c r="B30" t="s">
        <v>8</v>
      </c>
      <c r="C30" t="s">
        <v>52</v>
      </c>
      <c r="D30" t="s">
        <v>173</v>
      </c>
      <c r="E30" s="7">
        <f>-1*0.9*20*9.25</f>
        <v>-166.5</v>
      </c>
      <c r="F30" s="5" t="s">
        <v>22</v>
      </c>
      <c r="G30">
        <v>166.5</v>
      </c>
      <c r="H30">
        <v>900</v>
      </c>
      <c r="I30" s="2">
        <f>H30/G30</f>
        <v>5.4054054054054053</v>
      </c>
      <c r="J30" s="2">
        <f t="shared" si="0"/>
        <v>-1</v>
      </c>
      <c r="K30" s="3">
        <v>0.36319444444444443</v>
      </c>
      <c r="L30">
        <v>1</v>
      </c>
      <c r="M30" t="s">
        <v>31</v>
      </c>
      <c r="N30" t="s">
        <v>59</v>
      </c>
      <c r="O30" t="s">
        <v>111</v>
      </c>
      <c r="P30" t="s">
        <v>113</v>
      </c>
      <c r="Q30" t="s">
        <v>113</v>
      </c>
      <c r="R30" t="s">
        <v>114</v>
      </c>
      <c r="S30" t="s">
        <v>115</v>
      </c>
    </row>
    <row r="31" spans="1:19" x14ac:dyDescent="0.25">
      <c r="A31" s="1">
        <v>45861</v>
      </c>
      <c r="B31" t="s">
        <v>9</v>
      </c>
      <c r="C31" t="s">
        <v>52</v>
      </c>
      <c r="D31" t="s">
        <v>28</v>
      </c>
      <c r="E31" s="5">
        <f>6.33*20*0.9</f>
        <v>113.94</v>
      </c>
      <c r="F31" t="s">
        <v>23</v>
      </c>
      <c r="G31">
        <f>2.25*20*0.9</f>
        <v>40.5</v>
      </c>
      <c r="H31">
        <f>105.5*20*0.9</f>
        <v>1899</v>
      </c>
      <c r="I31" s="2">
        <f>H31/G31</f>
        <v>46.888888888888886</v>
      </c>
      <c r="J31" s="2">
        <f t="shared" si="0"/>
        <v>2.8133333333333335</v>
      </c>
      <c r="K31" s="3" t="s">
        <v>118</v>
      </c>
      <c r="L31">
        <v>2</v>
      </c>
      <c r="M31" t="s">
        <v>119</v>
      </c>
      <c r="N31" t="s">
        <v>116</v>
      </c>
      <c r="O31" t="s">
        <v>17</v>
      </c>
      <c r="P31" t="s">
        <v>24</v>
      </c>
      <c r="Q31" t="s">
        <v>17</v>
      </c>
      <c r="R31" t="s">
        <v>17</v>
      </c>
      <c r="S31" t="s">
        <v>120</v>
      </c>
    </row>
    <row r="32" spans="1:19" x14ac:dyDescent="0.25">
      <c r="A32" s="1">
        <v>45861</v>
      </c>
      <c r="B32" t="s">
        <v>9</v>
      </c>
      <c r="C32" t="s">
        <v>52</v>
      </c>
      <c r="D32" t="s">
        <v>148</v>
      </c>
      <c r="E32" s="5">
        <f>0.8*20*52.42+0.4*0.92*20</f>
        <v>846.08</v>
      </c>
      <c r="F32" t="s">
        <v>23</v>
      </c>
      <c r="G32">
        <f>0.8*20*4.25</f>
        <v>68</v>
      </c>
      <c r="H32">
        <f>47.5*0.8*20</f>
        <v>760</v>
      </c>
      <c r="I32" s="2">
        <f t="shared" si="1"/>
        <v>11.176470588235293</v>
      </c>
      <c r="J32" s="2">
        <f t="shared" si="0"/>
        <v>12.442352941176472</v>
      </c>
      <c r="K32" s="3" t="s">
        <v>121</v>
      </c>
      <c r="L32">
        <v>5</v>
      </c>
      <c r="M32" t="s">
        <v>30</v>
      </c>
      <c r="N32" t="s">
        <v>117</v>
      </c>
      <c r="O32" t="s">
        <v>17</v>
      </c>
      <c r="P32" t="s">
        <v>24</v>
      </c>
      <c r="Q32" t="s">
        <v>24</v>
      </c>
      <c r="R32" t="s">
        <v>17</v>
      </c>
      <c r="S32" t="s">
        <v>122</v>
      </c>
    </row>
    <row r="33" spans="1:19" x14ac:dyDescent="0.25">
      <c r="A33" s="1">
        <v>45863</v>
      </c>
      <c r="B33" t="s">
        <v>11</v>
      </c>
      <c r="C33" t="s">
        <v>52</v>
      </c>
      <c r="D33" t="s">
        <v>173</v>
      </c>
      <c r="E33" s="7">
        <f>0.8*-1*8.5*20 + -1*0.8*20*3</f>
        <v>-184</v>
      </c>
      <c r="F33" t="s">
        <v>23</v>
      </c>
      <c r="G33">
        <v>184</v>
      </c>
      <c r="H33">
        <v>700</v>
      </c>
      <c r="I33" s="2">
        <f t="shared" si="1"/>
        <v>3.8043478260869565</v>
      </c>
      <c r="J33" s="2">
        <f t="shared" si="0"/>
        <v>-1</v>
      </c>
      <c r="K33" s="3" t="s">
        <v>124</v>
      </c>
      <c r="L33">
        <v>1</v>
      </c>
      <c r="M33" t="s">
        <v>31</v>
      </c>
      <c r="N33" t="s">
        <v>45</v>
      </c>
      <c r="O33" t="s">
        <v>24</v>
      </c>
      <c r="P33" t="s">
        <v>17</v>
      </c>
      <c r="Q33" t="s">
        <v>24</v>
      </c>
      <c r="R33" t="s">
        <v>24</v>
      </c>
    </row>
    <row r="34" spans="1:19" x14ac:dyDescent="0.25">
      <c r="A34" s="1">
        <v>45863</v>
      </c>
      <c r="B34" t="s">
        <v>11</v>
      </c>
      <c r="C34" t="s">
        <v>52</v>
      </c>
      <c r="D34" t="s">
        <v>21</v>
      </c>
      <c r="E34" s="7">
        <f>-1*0.7*20*3.5</f>
        <v>-49</v>
      </c>
      <c r="F34" t="s">
        <v>23</v>
      </c>
      <c r="G34">
        <v>49</v>
      </c>
      <c r="H34">
        <v>700</v>
      </c>
      <c r="I34" s="2">
        <f t="shared" si="1"/>
        <v>14.285714285714286</v>
      </c>
      <c r="J34" s="2">
        <f t="shared" si="0"/>
        <v>-1</v>
      </c>
      <c r="K34" s="3" t="s">
        <v>125</v>
      </c>
      <c r="L34">
        <v>2</v>
      </c>
      <c r="M34" t="s">
        <v>31</v>
      </c>
      <c r="N34" t="s">
        <v>123</v>
      </c>
      <c r="O34" t="s">
        <v>24</v>
      </c>
      <c r="P34" t="s">
        <v>24</v>
      </c>
      <c r="Q34" t="s">
        <v>24</v>
      </c>
      <c r="R34" t="s">
        <v>24</v>
      </c>
      <c r="S34" t="s">
        <v>126</v>
      </c>
    </row>
    <row r="35" spans="1:19" x14ac:dyDescent="0.25">
      <c r="A35" s="1">
        <v>45867</v>
      </c>
      <c r="B35" t="s">
        <v>7</v>
      </c>
      <c r="C35" t="s">
        <v>52</v>
      </c>
      <c r="D35" t="s">
        <v>148</v>
      </c>
      <c r="E35" s="5">
        <f>0.9*38.25*20</f>
        <v>688.50000000000011</v>
      </c>
      <c r="F35" t="s">
        <v>23</v>
      </c>
      <c r="G35">
        <f>5.25*20*0.9</f>
        <v>94.5</v>
      </c>
      <c r="H35">
        <v>688.5</v>
      </c>
      <c r="I35" s="2">
        <f t="shared" si="1"/>
        <v>7.2857142857142856</v>
      </c>
      <c r="J35" s="2">
        <f t="shared" si="0"/>
        <v>7.2857142857142865</v>
      </c>
      <c r="K35" s="3" t="s">
        <v>127</v>
      </c>
      <c r="L35">
        <v>5</v>
      </c>
      <c r="M35" t="s">
        <v>30</v>
      </c>
      <c r="N35" t="s">
        <v>128</v>
      </c>
      <c r="O35" t="s">
        <v>17</v>
      </c>
      <c r="P35" t="s">
        <v>24</v>
      </c>
      <c r="Q35" t="s">
        <v>24</v>
      </c>
      <c r="R35" t="s">
        <v>17</v>
      </c>
      <c r="S35" t="s">
        <v>129</v>
      </c>
    </row>
    <row r="36" spans="1:19" x14ac:dyDescent="0.25">
      <c r="A36" s="1">
        <v>45867</v>
      </c>
      <c r="B36" t="s">
        <v>7</v>
      </c>
      <c r="C36" t="s">
        <v>53</v>
      </c>
      <c r="D36" t="s">
        <v>57</v>
      </c>
      <c r="E36" s="5">
        <v>0</v>
      </c>
      <c r="F36" t="s">
        <v>23</v>
      </c>
      <c r="G36">
        <v>50</v>
      </c>
      <c r="H36">
        <v>300</v>
      </c>
      <c r="I36" s="2">
        <f>H36/G36</f>
        <v>6</v>
      </c>
      <c r="J36" s="2">
        <f t="shared" si="0"/>
        <v>0</v>
      </c>
      <c r="K36" s="3" t="s">
        <v>130</v>
      </c>
      <c r="L36">
        <v>2</v>
      </c>
      <c r="M36" t="s">
        <v>31</v>
      </c>
      <c r="N36" t="s">
        <v>75</v>
      </c>
      <c r="O36" t="s">
        <v>17</v>
      </c>
      <c r="P36" t="s">
        <v>17</v>
      </c>
      <c r="Q36" t="s">
        <v>17</v>
      </c>
      <c r="R36" t="s">
        <v>24</v>
      </c>
      <c r="S36" t="s">
        <v>131</v>
      </c>
    </row>
    <row r="37" spans="1:19" x14ac:dyDescent="0.25">
      <c r="A37" s="1">
        <v>45868</v>
      </c>
      <c r="B37" t="s">
        <v>8</v>
      </c>
      <c r="C37" t="s">
        <v>52</v>
      </c>
      <c r="D37" t="s">
        <v>148</v>
      </c>
      <c r="E37" s="5">
        <f>1.4*20*29</f>
        <v>812</v>
      </c>
      <c r="F37" t="s">
        <v>23</v>
      </c>
      <c r="G37">
        <f>1.4*20*6.25</f>
        <v>175</v>
      </c>
      <c r="H37">
        <v>812</v>
      </c>
      <c r="I37" s="2">
        <f>H37/G37</f>
        <v>4.6399999999999997</v>
      </c>
      <c r="J37" s="2">
        <f t="shared" si="0"/>
        <v>4.6399999999999997</v>
      </c>
      <c r="K37" s="3" t="s">
        <v>132</v>
      </c>
      <c r="L37">
        <v>4</v>
      </c>
      <c r="M37" t="s">
        <v>30</v>
      </c>
      <c r="N37" t="s">
        <v>134</v>
      </c>
      <c r="O37" t="s">
        <v>17</v>
      </c>
      <c r="P37" t="s">
        <v>24</v>
      </c>
      <c r="Q37" t="s">
        <v>24</v>
      </c>
      <c r="R37" t="s">
        <v>17</v>
      </c>
      <c r="S37" t="s">
        <v>133</v>
      </c>
    </row>
    <row r="38" spans="1:19" x14ac:dyDescent="0.25">
      <c r="A38" s="1">
        <v>45868</v>
      </c>
      <c r="B38" t="s">
        <v>8</v>
      </c>
      <c r="C38" t="s">
        <v>91</v>
      </c>
      <c r="D38" t="s">
        <v>57</v>
      </c>
      <c r="E38" s="5">
        <v>0</v>
      </c>
      <c r="F38" s="5" t="s">
        <v>22</v>
      </c>
      <c r="G38">
        <v>100</v>
      </c>
      <c r="H38">
        <v>400</v>
      </c>
      <c r="I38" s="2">
        <f t="shared" si="1"/>
        <v>4</v>
      </c>
      <c r="J38" s="2">
        <f t="shared" si="0"/>
        <v>0</v>
      </c>
      <c r="K38" s="3" t="s">
        <v>136</v>
      </c>
      <c r="L38">
        <v>3</v>
      </c>
      <c r="M38" t="s">
        <v>30</v>
      </c>
      <c r="N38" t="s">
        <v>135</v>
      </c>
      <c r="O38" t="s">
        <v>24</v>
      </c>
      <c r="P38" t="s">
        <v>24</v>
      </c>
      <c r="Q38" t="s">
        <v>24</v>
      </c>
      <c r="R38" t="s">
        <v>17</v>
      </c>
      <c r="S38" t="s">
        <v>137</v>
      </c>
    </row>
    <row r="39" spans="1:19" x14ac:dyDescent="0.25">
      <c r="A39" s="1">
        <v>45870</v>
      </c>
      <c r="B39" t="s">
        <v>11</v>
      </c>
      <c r="C39" t="s">
        <v>52</v>
      </c>
      <c r="D39" t="s">
        <v>21</v>
      </c>
      <c r="E39" s="7">
        <f>0.8*20*8.25*-1</f>
        <v>-132</v>
      </c>
      <c r="F39" t="s">
        <v>23</v>
      </c>
      <c r="G39" t="s">
        <v>138</v>
      </c>
      <c r="H39">
        <f>0.8*20*64.5</f>
        <v>1032</v>
      </c>
      <c r="I39" s="2" t="s">
        <v>138</v>
      </c>
      <c r="J39" s="2">
        <v>0</v>
      </c>
      <c r="K39" s="3" t="s">
        <v>139</v>
      </c>
      <c r="L39">
        <v>2</v>
      </c>
      <c r="M39" s="5" t="s">
        <v>31</v>
      </c>
      <c r="N39" t="s">
        <v>140</v>
      </c>
      <c r="O39" t="s">
        <v>17</v>
      </c>
      <c r="P39" t="s">
        <v>17</v>
      </c>
      <c r="Q39" t="s">
        <v>17</v>
      </c>
      <c r="R39" s="5" t="s">
        <v>17</v>
      </c>
      <c r="S39" t="s">
        <v>141</v>
      </c>
    </row>
    <row r="40" spans="1:19" x14ac:dyDescent="0.25">
      <c r="A40" s="1">
        <v>45870</v>
      </c>
      <c r="B40" t="s">
        <v>11</v>
      </c>
      <c r="C40" t="s">
        <v>52</v>
      </c>
      <c r="D40" t="s">
        <v>28</v>
      </c>
      <c r="E40" s="5">
        <f>26.62*20*0.8</f>
        <v>425.92</v>
      </c>
      <c r="F40" t="s">
        <v>23</v>
      </c>
      <c r="G40" t="s">
        <v>138</v>
      </c>
      <c r="H40">
        <v>425.92</v>
      </c>
      <c r="I40" s="2" t="s">
        <v>138</v>
      </c>
      <c r="J40">
        <v>0</v>
      </c>
      <c r="K40" s="3" t="s">
        <v>132</v>
      </c>
      <c r="L40">
        <v>4</v>
      </c>
      <c r="M40" s="5" t="s">
        <v>31</v>
      </c>
      <c r="N40" t="s">
        <v>142</v>
      </c>
      <c r="O40" t="s">
        <v>17</v>
      </c>
      <c r="P40" t="s">
        <v>17</v>
      </c>
      <c r="Q40" t="s">
        <v>17</v>
      </c>
      <c r="R40" s="5" t="s">
        <v>17</v>
      </c>
      <c r="S40" t="s">
        <v>143</v>
      </c>
    </row>
    <row r="41" spans="1:19" x14ac:dyDescent="0.25">
      <c r="A41" s="1">
        <v>45870</v>
      </c>
      <c r="B41" t="s">
        <v>11</v>
      </c>
      <c r="C41" t="s">
        <v>52</v>
      </c>
      <c r="D41" t="s">
        <v>28</v>
      </c>
      <c r="E41" s="5">
        <f>0.6*20*(99.25-56.5)</f>
        <v>513</v>
      </c>
      <c r="F41" t="s">
        <v>23</v>
      </c>
      <c r="G41">
        <f>0.6*20*13.75</f>
        <v>165</v>
      </c>
      <c r="H41">
        <v>513</v>
      </c>
      <c r="I41" s="2">
        <f t="shared" si="1"/>
        <v>3.1090909090909089</v>
      </c>
      <c r="J41" s="2">
        <f t="shared" si="0"/>
        <v>3.1090909090909089</v>
      </c>
      <c r="K41" s="3" t="s">
        <v>144</v>
      </c>
      <c r="L41">
        <v>9</v>
      </c>
      <c r="M41" t="s">
        <v>30</v>
      </c>
      <c r="N41" t="s">
        <v>59</v>
      </c>
      <c r="O41" t="s">
        <v>17</v>
      </c>
      <c r="P41" t="s">
        <v>24</v>
      </c>
      <c r="Q41" t="s">
        <v>24</v>
      </c>
      <c r="R41" t="s">
        <v>17</v>
      </c>
      <c r="S41" t="s">
        <v>145</v>
      </c>
    </row>
    <row r="42" spans="1:19" x14ac:dyDescent="0.25">
      <c r="A42" s="1">
        <v>45870</v>
      </c>
      <c r="B42" t="s">
        <v>11</v>
      </c>
      <c r="C42" t="s">
        <v>52</v>
      </c>
      <c r="D42" t="s">
        <v>28</v>
      </c>
      <c r="E42" s="5">
        <f>19.25*0.8*20</f>
        <v>308</v>
      </c>
      <c r="F42" t="s">
        <v>23</v>
      </c>
      <c r="G42">
        <f>0.6*20*17.5</f>
        <v>210</v>
      </c>
      <c r="H42">
        <f>60*0.6*20</f>
        <v>720</v>
      </c>
      <c r="I42" s="2">
        <f t="shared" si="1"/>
        <v>3.4285714285714284</v>
      </c>
      <c r="J42" s="2">
        <f t="shared" si="0"/>
        <v>1.4666666666666666</v>
      </c>
      <c r="K42" s="3" t="s">
        <v>146</v>
      </c>
      <c r="L42">
        <v>4</v>
      </c>
      <c r="M42" t="s">
        <v>30</v>
      </c>
      <c r="N42" t="s">
        <v>59</v>
      </c>
      <c r="O42" t="s">
        <v>17</v>
      </c>
      <c r="P42" t="s">
        <v>24</v>
      </c>
      <c r="Q42" t="s">
        <v>17</v>
      </c>
      <c r="R42" t="s">
        <v>17</v>
      </c>
      <c r="S42" t="s">
        <v>147</v>
      </c>
    </row>
    <row r="43" spans="1:19" x14ac:dyDescent="0.25">
      <c r="A43" s="1">
        <v>45873</v>
      </c>
      <c r="B43" t="s">
        <v>7</v>
      </c>
      <c r="C43" t="s">
        <v>52</v>
      </c>
      <c r="D43" t="s">
        <v>148</v>
      </c>
      <c r="E43" s="5">
        <f>0.9*20*61.5</f>
        <v>1107</v>
      </c>
      <c r="F43" s="5" t="s">
        <v>22</v>
      </c>
      <c r="G43">
        <f>9.5*20*0.9</f>
        <v>171</v>
      </c>
      <c r="H43">
        <v>1107</v>
      </c>
      <c r="I43" s="2">
        <f t="shared" si="1"/>
        <v>6.4736842105263159</v>
      </c>
      <c r="J43" s="2">
        <f t="shared" si="0"/>
        <v>6.4736842105263159</v>
      </c>
      <c r="K43" s="3" t="s">
        <v>149</v>
      </c>
      <c r="L43">
        <v>6</v>
      </c>
      <c r="M43" t="s">
        <v>31</v>
      </c>
      <c r="N43" t="s">
        <v>150</v>
      </c>
      <c r="O43" t="s">
        <v>17</v>
      </c>
      <c r="P43" t="s">
        <v>24</v>
      </c>
      <c r="Q43" t="s">
        <v>24</v>
      </c>
      <c r="R43" t="s">
        <v>17</v>
      </c>
      <c r="S43" t="s">
        <v>151</v>
      </c>
    </row>
    <row r="44" spans="1:19" x14ac:dyDescent="0.25">
      <c r="A44" s="1">
        <v>45874</v>
      </c>
      <c r="B44" t="s">
        <v>8</v>
      </c>
      <c r="C44" t="s">
        <v>52</v>
      </c>
      <c r="D44" t="s">
        <v>175</v>
      </c>
      <c r="E44" s="7">
        <v>-310.5</v>
      </c>
      <c r="F44" t="s">
        <v>23</v>
      </c>
      <c r="G44">
        <f>0.9*20*17.25</f>
        <v>310.5</v>
      </c>
      <c r="H44">
        <v>1000</v>
      </c>
      <c r="I44" s="2">
        <f t="shared" si="1"/>
        <v>3.2206119162640903</v>
      </c>
      <c r="J44" s="2">
        <f t="shared" si="0"/>
        <v>-1</v>
      </c>
      <c r="K44" s="3" t="s">
        <v>152</v>
      </c>
      <c r="L44">
        <v>5</v>
      </c>
      <c r="M44" t="s">
        <v>31</v>
      </c>
      <c r="N44" t="s">
        <v>75</v>
      </c>
      <c r="O44" t="s">
        <v>24</v>
      </c>
      <c r="P44" t="s">
        <v>17</v>
      </c>
      <c r="Q44" t="s">
        <v>17</v>
      </c>
      <c r="R44" t="s">
        <v>111</v>
      </c>
    </row>
    <row r="45" spans="1:19" x14ac:dyDescent="0.25">
      <c r="A45" s="1">
        <v>45874</v>
      </c>
      <c r="B45" t="s">
        <v>8</v>
      </c>
      <c r="C45" t="s">
        <v>52</v>
      </c>
      <c r="D45" t="s">
        <v>21</v>
      </c>
      <c r="E45" s="7">
        <v>-67.5</v>
      </c>
      <c r="F45" s="5" t="s">
        <v>22</v>
      </c>
      <c r="G45">
        <f>3.75*0.9*20</f>
        <v>67.5</v>
      </c>
      <c r="H45">
        <v>720</v>
      </c>
      <c r="I45" s="2">
        <f t="shared" si="1"/>
        <v>10.666666666666666</v>
      </c>
      <c r="J45" s="2">
        <f t="shared" si="0"/>
        <v>-1</v>
      </c>
      <c r="K45" s="3">
        <v>0.37152777777777779</v>
      </c>
      <c r="L45">
        <v>1</v>
      </c>
      <c r="M45" t="s">
        <v>31</v>
      </c>
      <c r="N45" t="s">
        <v>75</v>
      </c>
      <c r="O45" t="s">
        <v>24</v>
      </c>
      <c r="P45" t="s">
        <v>17</v>
      </c>
      <c r="Q45" t="s">
        <v>17</v>
      </c>
      <c r="R45" t="s">
        <v>111</v>
      </c>
      <c r="S45" t="s">
        <v>165</v>
      </c>
    </row>
    <row r="46" spans="1:19" x14ac:dyDescent="0.25">
      <c r="A46" s="1">
        <v>45875</v>
      </c>
      <c r="B46" t="s">
        <v>9</v>
      </c>
      <c r="C46" t="s">
        <v>52</v>
      </c>
      <c r="D46" t="s">
        <v>175</v>
      </c>
      <c r="E46" s="7">
        <v>-898</v>
      </c>
      <c r="F46" t="s">
        <v>23</v>
      </c>
      <c r="G46">
        <v>900</v>
      </c>
      <c r="H46">
        <v>1000</v>
      </c>
      <c r="I46" s="2">
        <f t="shared" si="1"/>
        <v>1.1111111111111112</v>
      </c>
      <c r="J46" s="2">
        <f t="shared" si="0"/>
        <v>-0.99777777777777776</v>
      </c>
      <c r="K46" s="3" t="s">
        <v>153</v>
      </c>
      <c r="L46">
        <v>5</v>
      </c>
      <c r="M46" t="s">
        <v>31</v>
      </c>
      <c r="N46" t="s">
        <v>45</v>
      </c>
      <c r="O46" t="s">
        <v>24</v>
      </c>
      <c r="P46" t="s">
        <v>17</v>
      </c>
      <c r="Q46" t="s">
        <v>17</v>
      </c>
      <c r="R46" t="s">
        <v>111</v>
      </c>
      <c r="S46" t="s">
        <v>154</v>
      </c>
    </row>
    <row r="47" spans="1:19" x14ac:dyDescent="0.25">
      <c r="A47" s="1">
        <v>45876</v>
      </c>
      <c r="B47" t="s">
        <v>10</v>
      </c>
      <c r="C47" t="s">
        <v>52</v>
      </c>
      <c r="D47" t="s">
        <v>28</v>
      </c>
      <c r="E47" s="5">
        <f>0.8*20*(159.75-84.5)</f>
        <v>1204</v>
      </c>
      <c r="F47" s="5" t="s">
        <v>22</v>
      </c>
      <c r="G47">
        <f>5.75*0.8*20</f>
        <v>92.000000000000014</v>
      </c>
      <c r="H47">
        <f>0.8*20*(167.25-84.5)</f>
        <v>1324</v>
      </c>
      <c r="I47" s="2">
        <f t="shared" si="1"/>
        <v>14.391304347826084</v>
      </c>
      <c r="J47" s="2">
        <f t="shared" si="0"/>
        <v>13.086956521739129</v>
      </c>
      <c r="K47" s="3" t="s">
        <v>155</v>
      </c>
      <c r="L47">
        <v>13</v>
      </c>
      <c r="M47" t="s">
        <v>30</v>
      </c>
      <c r="N47" t="s">
        <v>156</v>
      </c>
      <c r="O47" t="s">
        <v>17</v>
      </c>
      <c r="P47" t="s">
        <v>24</v>
      </c>
      <c r="Q47" t="s">
        <v>24</v>
      </c>
      <c r="R47" t="s">
        <v>110</v>
      </c>
      <c r="S47" t="s">
        <v>157</v>
      </c>
    </row>
    <row r="48" spans="1:19" x14ac:dyDescent="0.25">
      <c r="A48" s="1">
        <v>45877</v>
      </c>
      <c r="B48" t="s">
        <v>11</v>
      </c>
      <c r="C48" t="s">
        <v>52</v>
      </c>
      <c r="D48" t="s">
        <v>173</v>
      </c>
      <c r="E48" s="7">
        <f>1.7*20*-1*(85.32-78.28)</f>
        <v>-239.35999999999973</v>
      </c>
      <c r="F48" t="s">
        <v>23</v>
      </c>
      <c r="G48">
        <v>239.36</v>
      </c>
      <c r="H48">
        <f>28*20*1.7</f>
        <v>952</v>
      </c>
      <c r="I48" s="2">
        <f t="shared" si="1"/>
        <v>3.9772727272727271</v>
      </c>
      <c r="J48" s="2">
        <f t="shared" si="0"/>
        <v>-0.99999999999999878</v>
      </c>
      <c r="K48" s="3">
        <v>0.36180555555555555</v>
      </c>
      <c r="L48">
        <v>1</v>
      </c>
      <c r="M48" t="s">
        <v>31</v>
      </c>
      <c r="N48" t="s">
        <v>158</v>
      </c>
      <c r="O48" t="s">
        <v>24</v>
      </c>
      <c r="P48" t="s">
        <v>17</v>
      </c>
      <c r="Q48" t="s">
        <v>17</v>
      </c>
      <c r="R48" t="s">
        <v>24</v>
      </c>
      <c r="S48" t="s">
        <v>176</v>
      </c>
    </row>
    <row r="49" spans="1:21" x14ac:dyDescent="0.25">
      <c r="E49" s="5"/>
      <c r="I49" s="2"/>
      <c r="J49" s="2"/>
      <c r="K49" s="4"/>
      <c r="S49" s="5" t="s">
        <v>159</v>
      </c>
    </row>
    <row r="50" spans="1:21" x14ac:dyDescent="0.25">
      <c r="A50" s="1">
        <v>45880</v>
      </c>
      <c r="B50" t="s">
        <v>7</v>
      </c>
      <c r="C50" t="s">
        <v>52</v>
      </c>
      <c r="D50" t="s">
        <v>173</v>
      </c>
      <c r="E50" s="7">
        <f>0.9*-1*20*5</f>
        <v>-90</v>
      </c>
      <c r="F50" s="5" t="s">
        <v>23</v>
      </c>
      <c r="G50">
        <v>90</v>
      </c>
      <c r="H50">
        <f>0.9*32.75*20</f>
        <v>589.5</v>
      </c>
      <c r="I50" s="2">
        <f t="shared" si="1"/>
        <v>6.55</v>
      </c>
      <c r="J50" s="2">
        <f t="shared" ref="J50:J93" si="2">E50/G50</f>
        <v>-1</v>
      </c>
      <c r="K50" s="3">
        <v>0.35555555555555557</v>
      </c>
      <c r="L50">
        <v>1</v>
      </c>
      <c r="M50" t="s">
        <v>30</v>
      </c>
      <c r="N50" t="s">
        <v>45</v>
      </c>
      <c r="O50" t="s">
        <v>24</v>
      </c>
      <c r="P50" t="s">
        <v>17</v>
      </c>
      <c r="Q50" t="s">
        <v>24</v>
      </c>
      <c r="R50" t="s">
        <v>17</v>
      </c>
      <c r="S50" t="s">
        <v>160</v>
      </c>
      <c r="T50">
        <f>AVERAGE(E2:E48)</f>
        <v>159.49531914893618</v>
      </c>
      <c r="U50" t="s">
        <v>164</v>
      </c>
    </row>
    <row r="51" spans="1:21" x14ac:dyDescent="0.25">
      <c r="A51" s="1">
        <v>45880</v>
      </c>
      <c r="B51" t="s">
        <v>7</v>
      </c>
      <c r="C51" t="s">
        <v>52</v>
      </c>
      <c r="D51" t="s">
        <v>173</v>
      </c>
      <c r="E51" s="7">
        <f>0.9*-1*20*(44.81-39.5)</f>
        <v>-95.580000000000041</v>
      </c>
      <c r="F51" t="s">
        <v>23</v>
      </c>
      <c r="G51">
        <v>95.58</v>
      </c>
      <c r="H51">
        <f>19*0.9*20</f>
        <v>342</v>
      </c>
      <c r="I51" s="2">
        <f t="shared" si="1"/>
        <v>3.5781544256120528</v>
      </c>
      <c r="J51" s="2">
        <f t="shared" si="2"/>
        <v>-1.0000000000000004</v>
      </c>
      <c r="K51" s="3">
        <v>0.37569444444444444</v>
      </c>
      <c r="L51">
        <v>1</v>
      </c>
      <c r="M51" t="s">
        <v>30</v>
      </c>
      <c r="N51" t="s">
        <v>59</v>
      </c>
      <c r="O51" t="s">
        <v>66</v>
      </c>
      <c r="P51" t="s">
        <v>17</v>
      </c>
      <c r="Q51" t="s">
        <v>24</v>
      </c>
      <c r="R51" t="s">
        <v>17</v>
      </c>
      <c r="S51" t="s">
        <v>161</v>
      </c>
      <c r="T51" s="6">
        <f>_xlfn.STDEV.S(E2:E48)</f>
        <v>470.27047131943613</v>
      </c>
    </row>
    <row r="52" spans="1:21" x14ac:dyDescent="0.25">
      <c r="A52" s="1">
        <v>45881</v>
      </c>
      <c r="B52" t="s">
        <v>8</v>
      </c>
      <c r="C52" t="s">
        <v>52</v>
      </c>
      <c r="D52" t="s">
        <v>57</v>
      </c>
      <c r="E52">
        <v>0</v>
      </c>
      <c r="F52" t="s">
        <v>22</v>
      </c>
      <c r="G52">
        <f>4.5*0.9*20</f>
        <v>81</v>
      </c>
      <c r="H52">
        <f>0.9*40.75*20</f>
        <v>733.50000000000011</v>
      </c>
      <c r="I52" s="2">
        <f t="shared" ref="I52:I57" si="3">H52/G52</f>
        <v>9.0555555555555571</v>
      </c>
      <c r="J52" s="2">
        <f t="shared" si="2"/>
        <v>0</v>
      </c>
      <c r="K52" s="4" t="s">
        <v>204</v>
      </c>
      <c r="L52">
        <v>2</v>
      </c>
      <c r="M52" t="s">
        <v>31</v>
      </c>
      <c r="N52" t="s">
        <v>205</v>
      </c>
      <c r="O52" t="s">
        <v>24</v>
      </c>
      <c r="P52" t="s">
        <v>17</v>
      </c>
      <c r="Q52" t="s">
        <v>24</v>
      </c>
      <c r="R52" t="s">
        <v>17</v>
      </c>
      <c r="S52" t="s">
        <v>162</v>
      </c>
      <c r="T52" s="6">
        <f>MIN(E2:E48)</f>
        <v>-898</v>
      </c>
    </row>
    <row r="53" spans="1:21" x14ac:dyDescent="0.25">
      <c r="A53" s="1">
        <v>45881</v>
      </c>
      <c r="B53" t="s">
        <v>8</v>
      </c>
      <c r="C53" t="s">
        <v>52</v>
      </c>
      <c r="D53" t="s">
        <v>57</v>
      </c>
      <c r="E53">
        <f>-1*0.75*20*0.9</f>
        <v>-13.5</v>
      </c>
      <c r="F53" t="s">
        <v>22</v>
      </c>
      <c r="G53">
        <f>0.9*4.25*20</f>
        <v>76.5</v>
      </c>
      <c r="H53">
        <f>63.25*0.9*20</f>
        <v>1138.5</v>
      </c>
      <c r="I53" s="2">
        <f t="shared" si="3"/>
        <v>14.882352941176471</v>
      </c>
      <c r="J53" s="2">
        <f t="shared" si="2"/>
        <v>-0.17647058823529413</v>
      </c>
      <c r="K53" s="4" t="s">
        <v>207</v>
      </c>
      <c r="L53">
        <v>3</v>
      </c>
      <c r="M53" t="s">
        <v>30</v>
      </c>
      <c r="N53" t="s">
        <v>206</v>
      </c>
      <c r="O53" t="s">
        <v>24</v>
      </c>
      <c r="P53" t="s">
        <v>24</v>
      </c>
      <c r="Q53" t="s">
        <v>24</v>
      </c>
      <c r="R53" t="s">
        <v>17</v>
      </c>
      <c r="S53" t="s">
        <v>163</v>
      </c>
      <c r="T53" s="6">
        <f>MAX(E2:E48)</f>
        <v>1204</v>
      </c>
    </row>
    <row r="54" spans="1:21" x14ac:dyDescent="0.25">
      <c r="A54" s="1">
        <v>45881</v>
      </c>
      <c r="B54" t="s">
        <v>8</v>
      </c>
      <c r="C54" t="s">
        <v>52</v>
      </c>
      <c r="D54" t="s">
        <v>57</v>
      </c>
      <c r="E54">
        <f>0.9*1.86*20</f>
        <v>33.480000000000004</v>
      </c>
      <c r="F54" t="s">
        <v>22</v>
      </c>
      <c r="G54">
        <f>4*0.9*20</f>
        <v>72</v>
      </c>
      <c r="H54">
        <f>102*0.9*20</f>
        <v>1836</v>
      </c>
      <c r="I54" s="2">
        <f t="shared" si="3"/>
        <v>25.5</v>
      </c>
      <c r="J54" s="2">
        <f t="shared" si="2"/>
        <v>0.46500000000000008</v>
      </c>
      <c r="K54" s="4" t="s">
        <v>210</v>
      </c>
      <c r="L54">
        <v>2</v>
      </c>
      <c r="M54" t="s">
        <v>30</v>
      </c>
      <c r="N54" t="s">
        <v>213</v>
      </c>
      <c r="O54" t="s">
        <v>214</v>
      </c>
      <c r="P54" t="s">
        <v>24</v>
      </c>
      <c r="Q54" t="s">
        <v>24</v>
      </c>
      <c r="R54" t="s">
        <v>17</v>
      </c>
      <c r="S54" t="s">
        <v>170</v>
      </c>
      <c r="T54" s="8">
        <f>3/47</f>
        <v>6.3829787234042548E-2</v>
      </c>
      <c r="U54" t="s">
        <v>190</v>
      </c>
    </row>
    <row r="55" spans="1:21" x14ac:dyDescent="0.25">
      <c r="A55" s="1">
        <v>45881</v>
      </c>
      <c r="B55" t="s">
        <v>8</v>
      </c>
      <c r="C55" t="s">
        <v>52</v>
      </c>
      <c r="D55" t="s">
        <v>173</v>
      </c>
      <c r="E55" s="7">
        <f>-1*0.9*9.5*20</f>
        <v>-171</v>
      </c>
      <c r="F55" t="s">
        <v>23</v>
      </c>
      <c r="G55">
        <f>171</f>
        <v>171</v>
      </c>
      <c r="H55">
        <f>37*20*0.9</f>
        <v>666</v>
      </c>
      <c r="I55" s="2">
        <f t="shared" si="3"/>
        <v>3.8947368421052633</v>
      </c>
      <c r="J55" s="2">
        <f t="shared" si="2"/>
        <v>-1</v>
      </c>
      <c r="K55" s="4" t="s">
        <v>208</v>
      </c>
      <c r="L55">
        <v>2</v>
      </c>
      <c r="M55" t="s">
        <v>31</v>
      </c>
      <c r="N55" t="s">
        <v>59</v>
      </c>
      <c r="O55" t="s">
        <v>24</v>
      </c>
      <c r="P55" t="s">
        <v>24</v>
      </c>
      <c r="Q55" t="s">
        <v>17</v>
      </c>
      <c r="R55" t="s">
        <v>24</v>
      </c>
      <c r="S55" t="s">
        <v>171</v>
      </c>
      <c r="T55" s="8">
        <f>24/47</f>
        <v>0.51063829787234039</v>
      </c>
    </row>
    <row r="56" spans="1:21" x14ac:dyDescent="0.25">
      <c r="A56" s="1">
        <v>45881</v>
      </c>
      <c r="B56" t="s">
        <v>8</v>
      </c>
      <c r="C56" t="s">
        <v>52</v>
      </c>
      <c r="D56" t="s">
        <v>21</v>
      </c>
      <c r="E56" s="7">
        <f>-1*4*0.9*20</f>
        <v>-72</v>
      </c>
      <c r="F56" t="s">
        <v>23</v>
      </c>
      <c r="G56">
        <f>7*0.9*20</f>
        <v>126</v>
      </c>
      <c r="H56">
        <f>39*0.9*20</f>
        <v>702</v>
      </c>
      <c r="I56" s="2">
        <f t="shared" si="3"/>
        <v>5.5714285714285712</v>
      </c>
      <c r="J56" s="2">
        <f t="shared" si="2"/>
        <v>-0.5714285714285714</v>
      </c>
      <c r="K56" s="4" t="s">
        <v>209</v>
      </c>
      <c r="L56">
        <v>2</v>
      </c>
      <c r="M56" t="s">
        <v>212</v>
      </c>
      <c r="N56" t="s">
        <v>215</v>
      </c>
      <c r="O56" t="s">
        <v>24</v>
      </c>
      <c r="P56" t="s">
        <v>24</v>
      </c>
      <c r="Q56" t="s">
        <v>24</v>
      </c>
      <c r="R56" t="s">
        <v>24</v>
      </c>
      <c r="S56" t="s">
        <v>172</v>
      </c>
      <c r="T56" s="8">
        <f>20/47</f>
        <v>0.42553191489361702</v>
      </c>
      <c r="U56" t="s">
        <v>179</v>
      </c>
    </row>
    <row r="57" spans="1:21" x14ac:dyDescent="0.25">
      <c r="A57" s="1">
        <v>45881</v>
      </c>
      <c r="B57" t="s">
        <v>8</v>
      </c>
      <c r="C57" t="s">
        <v>52</v>
      </c>
      <c r="D57" t="s">
        <v>57</v>
      </c>
      <c r="E57">
        <v>0</v>
      </c>
      <c r="F57" t="s">
        <v>23</v>
      </c>
      <c r="G57">
        <f>6.5*0.9*20</f>
        <v>117.00000000000001</v>
      </c>
      <c r="H57">
        <f>44*0.9*20</f>
        <v>792</v>
      </c>
      <c r="I57" s="2">
        <f t="shared" si="3"/>
        <v>6.7692307692307683</v>
      </c>
      <c r="J57" s="2">
        <f t="shared" si="2"/>
        <v>0</v>
      </c>
      <c r="K57" s="4" t="s">
        <v>211</v>
      </c>
      <c r="L57">
        <v>2</v>
      </c>
      <c r="M57" t="s">
        <v>30</v>
      </c>
      <c r="N57" t="s">
        <v>216</v>
      </c>
      <c r="O57" t="s">
        <v>24</v>
      </c>
      <c r="P57" t="s">
        <v>24</v>
      </c>
      <c r="Q57" t="s">
        <v>24</v>
      </c>
      <c r="R57" t="s">
        <v>17</v>
      </c>
      <c r="S57" t="s">
        <v>168</v>
      </c>
      <c r="T57" s="6">
        <f>AVERAGE(G2:G48)</f>
        <v>164.14133333333334</v>
      </c>
      <c r="U57" t="s">
        <v>188</v>
      </c>
    </row>
    <row r="58" spans="1:21" x14ac:dyDescent="0.25">
      <c r="A58" s="1">
        <v>45882</v>
      </c>
      <c r="B58" t="s">
        <v>9</v>
      </c>
      <c r="C58" t="s">
        <v>52</v>
      </c>
      <c r="D58" t="s">
        <v>173</v>
      </c>
      <c r="E58" s="7">
        <f>1.2*-1*20*5.87</f>
        <v>-140.88</v>
      </c>
      <c r="F58" t="s">
        <v>22</v>
      </c>
      <c r="G58">
        <f>140.88</f>
        <v>140.88</v>
      </c>
      <c r="H58">
        <f>1.2*20*40</f>
        <v>960</v>
      </c>
      <c r="I58" s="2">
        <f t="shared" ref="I58" si="4">H58/G58</f>
        <v>6.8143100511073254</v>
      </c>
      <c r="J58" s="2">
        <f t="shared" si="2"/>
        <v>-1</v>
      </c>
      <c r="K58" s="3">
        <v>0.36666666666666664</v>
      </c>
      <c r="L58">
        <v>1</v>
      </c>
      <c r="M58" t="s">
        <v>30</v>
      </c>
      <c r="N58" t="s">
        <v>218</v>
      </c>
      <c r="O58" t="s">
        <v>24</v>
      </c>
      <c r="P58" t="s">
        <v>110</v>
      </c>
      <c r="Q58" t="s">
        <v>24</v>
      </c>
      <c r="R58" t="s">
        <v>17</v>
      </c>
      <c r="S58" t="s">
        <v>167</v>
      </c>
      <c r="T58" s="6">
        <f>AVERAGE(H2:H48)</f>
        <v>841.1613043478261</v>
      </c>
    </row>
    <row r="59" spans="1:21" x14ac:dyDescent="0.25">
      <c r="A59" s="1">
        <v>45883</v>
      </c>
      <c r="B59" t="s">
        <v>10</v>
      </c>
      <c r="C59" t="s">
        <v>52</v>
      </c>
      <c r="D59" t="s">
        <v>21</v>
      </c>
      <c r="E59" s="7">
        <f>0.8*20*-1*5.78</f>
        <v>-92.48</v>
      </c>
      <c r="F59" t="s">
        <v>22</v>
      </c>
      <c r="G59">
        <v>92.48</v>
      </c>
      <c r="H59">
        <v>900</v>
      </c>
      <c r="I59" s="2">
        <f t="shared" ref="I59:I62" si="5">H59/G59</f>
        <v>9.7318339100346023</v>
      </c>
      <c r="J59" s="2">
        <f t="shared" si="2"/>
        <v>-1</v>
      </c>
      <c r="K59" s="3">
        <v>0.37291666666666667</v>
      </c>
      <c r="L59">
        <v>1</v>
      </c>
      <c r="M59" t="s">
        <v>30</v>
      </c>
      <c r="N59" t="s">
        <v>59</v>
      </c>
      <c r="O59" t="s">
        <v>17</v>
      </c>
      <c r="P59" t="s">
        <v>17</v>
      </c>
      <c r="Q59" t="s">
        <v>24</v>
      </c>
      <c r="R59" t="s">
        <v>17</v>
      </c>
      <c r="S59" t="s">
        <v>169</v>
      </c>
      <c r="T59" s="6">
        <f>T58/T57</f>
        <v>5.1246160078377132</v>
      </c>
    </row>
    <row r="60" spans="1:21" x14ac:dyDescent="0.25">
      <c r="A60" s="1">
        <v>45883</v>
      </c>
      <c r="B60" t="s">
        <v>10</v>
      </c>
      <c r="C60" t="s">
        <v>52</v>
      </c>
      <c r="D60" t="s">
        <v>57</v>
      </c>
      <c r="E60">
        <f>0.8*-1*20*0.44</f>
        <v>-7.04</v>
      </c>
      <c r="F60" t="s">
        <v>22</v>
      </c>
      <c r="G60">
        <v>100</v>
      </c>
      <c r="H60">
        <v>800</v>
      </c>
      <c r="I60" s="2">
        <f t="shared" si="5"/>
        <v>8</v>
      </c>
      <c r="J60" s="2">
        <f t="shared" si="2"/>
        <v>-7.0400000000000004E-2</v>
      </c>
      <c r="K60" s="4" t="s">
        <v>219</v>
      </c>
      <c r="L60">
        <v>3</v>
      </c>
      <c r="M60" t="s">
        <v>30</v>
      </c>
      <c r="N60" t="s">
        <v>220</v>
      </c>
      <c r="O60" t="s">
        <v>17</v>
      </c>
      <c r="P60" t="s">
        <v>17</v>
      </c>
      <c r="Q60" t="s">
        <v>24</v>
      </c>
      <c r="R60" t="s">
        <v>17</v>
      </c>
      <c r="S60" t="s">
        <v>166</v>
      </c>
      <c r="T60" s="6">
        <f>AVERAGE(J2:J48)</f>
        <v>1.6325065330413298</v>
      </c>
    </row>
    <row r="61" spans="1:21" x14ac:dyDescent="0.25">
      <c r="A61" s="1">
        <v>45883</v>
      </c>
      <c r="B61" t="s">
        <v>10</v>
      </c>
      <c r="C61" t="s">
        <v>52</v>
      </c>
      <c r="D61" t="s">
        <v>173</v>
      </c>
      <c r="E61" s="7">
        <f>0.8*20*-1*6.75</f>
        <v>-108</v>
      </c>
      <c r="F61" t="s">
        <v>22</v>
      </c>
      <c r="G61">
        <v>108</v>
      </c>
      <c r="H61">
        <v>800</v>
      </c>
      <c r="I61" s="2">
        <f t="shared" si="5"/>
        <v>7.4074074074074074</v>
      </c>
      <c r="J61" s="2">
        <f t="shared" si="2"/>
        <v>-1</v>
      </c>
      <c r="K61" s="4" t="s">
        <v>130</v>
      </c>
      <c r="L61">
        <v>2</v>
      </c>
      <c r="M61" t="s">
        <v>31</v>
      </c>
      <c r="N61" t="s">
        <v>75</v>
      </c>
      <c r="O61" t="s">
        <v>17</v>
      </c>
      <c r="P61" t="s">
        <v>17</v>
      </c>
      <c r="Q61" t="s">
        <v>24</v>
      </c>
      <c r="R61" t="s">
        <v>24</v>
      </c>
      <c r="S61" t="s">
        <v>177</v>
      </c>
      <c r="T61">
        <f>SUM(E14:E21,E24,E26,E28:E30,E33:E34,E39,E44:E46,E48)</f>
        <v>-3971.3599999999997</v>
      </c>
    </row>
    <row r="62" spans="1:21" x14ac:dyDescent="0.25">
      <c r="A62" s="1">
        <v>45883</v>
      </c>
      <c r="B62" t="s">
        <v>10</v>
      </c>
      <c r="C62" t="s">
        <v>52</v>
      </c>
      <c r="D62" t="s">
        <v>173</v>
      </c>
      <c r="E62" s="7">
        <f>0.8*20*-1*11.44</f>
        <v>-183.04</v>
      </c>
      <c r="F62" t="s">
        <v>23</v>
      </c>
      <c r="G62">
        <v>183.94</v>
      </c>
      <c r="H62">
        <v>800</v>
      </c>
      <c r="I62" s="2">
        <f t="shared" si="5"/>
        <v>4.3492443187996086</v>
      </c>
      <c r="J62" s="2">
        <f t="shared" si="2"/>
        <v>-0.9951071001413504</v>
      </c>
      <c r="K62" s="3">
        <v>0.39652777777777776</v>
      </c>
      <c r="L62">
        <v>1</v>
      </c>
      <c r="M62" t="s">
        <v>31</v>
      </c>
      <c r="N62" t="s">
        <v>221</v>
      </c>
      <c r="O62" t="s">
        <v>24</v>
      </c>
      <c r="P62" t="s">
        <v>17</v>
      </c>
      <c r="Q62" t="s">
        <v>24</v>
      </c>
      <c r="R62" t="s">
        <v>24</v>
      </c>
      <c r="S62" t="s">
        <v>178</v>
      </c>
      <c r="T62">
        <f>SUM(E7:E13,E22:E23,E25,E27,E31:E32,E35:E38,E40:E43,E47)</f>
        <v>11780.539999999999</v>
      </c>
    </row>
    <row r="63" spans="1:21" x14ac:dyDescent="0.25">
      <c r="A63" s="1">
        <v>45884</v>
      </c>
      <c r="B63" t="s">
        <v>11</v>
      </c>
      <c r="C63" t="s">
        <v>52</v>
      </c>
      <c r="D63" t="s">
        <v>57</v>
      </c>
      <c r="E63">
        <v>0</v>
      </c>
      <c r="F63" t="s">
        <v>23</v>
      </c>
      <c r="G63">
        <f>0.8*20*6</f>
        <v>96</v>
      </c>
      <c r="H63">
        <v>640</v>
      </c>
      <c r="I63" s="2">
        <f t="shared" ref="I63:I67" si="6">H63/G63</f>
        <v>6.666666666666667</v>
      </c>
      <c r="J63" s="2">
        <f t="shared" si="2"/>
        <v>0</v>
      </c>
      <c r="K63" s="4" t="s">
        <v>223</v>
      </c>
      <c r="L63">
        <v>4</v>
      </c>
      <c r="M63" t="s">
        <v>224</v>
      </c>
      <c r="N63" t="s">
        <v>75</v>
      </c>
      <c r="O63" t="s">
        <v>24</v>
      </c>
      <c r="P63" t="s">
        <v>24</v>
      </c>
      <c r="Q63" t="s">
        <v>24</v>
      </c>
      <c r="R63" t="s">
        <v>17</v>
      </c>
      <c r="S63" t="s">
        <v>180</v>
      </c>
      <c r="T63" s="8">
        <f>11/47</f>
        <v>0.23404255319148937</v>
      </c>
    </row>
    <row r="64" spans="1:21" x14ac:dyDescent="0.25">
      <c r="A64" s="1">
        <v>45884</v>
      </c>
      <c r="B64" t="s">
        <v>11</v>
      </c>
      <c r="C64" t="s">
        <v>52</v>
      </c>
      <c r="D64" t="s">
        <v>173</v>
      </c>
      <c r="E64" s="7">
        <f>0.8*-1*20*4</f>
        <v>-64</v>
      </c>
      <c r="F64" t="s">
        <v>23</v>
      </c>
      <c r="G64">
        <v>64</v>
      </c>
      <c r="H64">
        <v>640</v>
      </c>
      <c r="I64" s="2">
        <f t="shared" si="6"/>
        <v>10</v>
      </c>
      <c r="J64" s="2">
        <f t="shared" si="2"/>
        <v>-1</v>
      </c>
      <c r="K64" s="4" t="s">
        <v>225</v>
      </c>
      <c r="L64">
        <v>2</v>
      </c>
      <c r="N64" t="s">
        <v>222</v>
      </c>
      <c r="O64" t="s">
        <v>24</v>
      </c>
      <c r="P64" t="s">
        <v>24</v>
      </c>
      <c r="Q64" t="s">
        <v>24</v>
      </c>
      <c r="R64" t="s">
        <v>24</v>
      </c>
      <c r="S64" t="s">
        <v>181</v>
      </c>
      <c r="T64" s="8">
        <f>36/47</f>
        <v>0.76595744680851063</v>
      </c>
      <c r="U64" t="s">
        <v>189</v>
      </c>
    </row>
    <row r="65" spans="1:28" x14ac:dyDescent="0.25">
      <c r="A65" s="1">
        <v>45884</v>
      </c>
      <c r="B65" t="s">
        <v>11</v>
      </c>
      <c r="C65" t="s">
        <v>52</v>
      </c>
      <c r="D65" t="s">
        <v>173</v>
      </c>
      <c r="E65" s="7">
        <f>0.8*-1*20*6.75</f>
        <v>-108</v>
      </c>
      <c r="F65" t="s">
        <v>22</v>
      </c>
      <c r="G65">
        <v>108</v>
      </c>
      <c r="H65">
        <v>640</v>
      </c>
      <c r="I65" s="2">
        <f t="shared" si="6"/>
        <v>5.9259259259259256</v>
      </c>
      <c r="J65" s="2">
        <f t="shared" si="2"/>
        <v>-1</v>
      </c>
      <c r="K65" s="3">
        <v>0.45763888888888887</v>
      </c>
      <c r="L65">
        <v>1</v>
      </c>
      <c r="M65" t="s">
        <v>31</v>
      </c>
      <c r="N65" t="s">
        <v>222</v>
      </c>
      <c r="O65" t="s">
        <v>24</v>
      </c>
      <c r="P65" t="s">
        <v>24</v>
      </c>
      <c r="Q65" t="s">
        <v>24</v>
      </c>
      <c r="R65" t="s">
        <v>24</v>
      </c>
      <c r="S65" t="s">
        <v>182</v>
      </c>
      <c r="T65" s="8">
        <f>4/11</f>
        <v>0.36363636363636365</v>
      </c>
    </row>
    <row r="66" spans="1:28" x14ac:dyDescent="0.25">
      <c r="A66" s="1">
        <v>45887</v>
      </c>
      <c r="B66" t="s">
        <v>7</v>
      </c>
      <c r="C66" t="s">
        <v>52</v>
      </c>
      <c r="D66" t="s">
        <v>21</v>
      </c>
      <c r="E66" s="7">
        <f>-0.8*20*5</f>
        <v>-80</v>
      </c>
      <c r="F66" t="s">
        <v>22</v>
      </c>
      <c r="G66">
        <v>80</v>
      </c>
      <c r="H66">
        <v>800</v>
      </c>
      <c r="I66" s="2">
        <f t="shared" si="6"/>
        <v>10</v>
      </c>
      <c r="J66" s="2">
        <f t="shared" si="2"/>
        <v>-1</v>
      </c>
      <c r="K66" s="4" t="s">
        <v>38</v>
      </c>
      <c r="L66">
        <v>2</v>
      </c>
      <c r="M66" t="s">
        <v>30</v>
      </c>
      <c r="N66" t="s">
        <v>226</v>
      </c>
      <c r="O66" t="s">
        <v>24</v>
      </c>
      <c r="P66" t="s">
        <v>24</v>
      </c>
      <c r="Q66" t="s">
        <v>24</v>
      </c>
      <c r="R66" t="s">
        <v>17</v>
      </c>
      <c r="S66" t="s">
        <v>183</v>
      </c>
      <c r="T66" s="8">
        <f>15/36</f>
        <v>0.41666666666666669</v>
      </c>
    </row>
    <row r="67" spans="1:28" x14ac:dyDescent="0.25">
      <c r="A67" s="1">
        <v>45887</v>
      </c>
      <c r="B67" t="s">
        <v>7</v>
      </c>
      <c r="C67" t="s">
        <v>52</v>
      </c>
      <c r="D67" t="s">
        <v>173</v>
      </c>
      <c r="E67" s="7">
        <f>-0.8*20*3.21</f>
        <v>-51.36</v>
      </c>
      <c r="F67" t="s">
        <v>23</v>
      </c>
      <c r="G67">
        <v>51.36</v>
      </c>
      <c r="H67">
        <v>800</v>
      </c>
      <c r="I67" s="2">
        <f t="shared" si="6"/>
        <v>15.576323987538942</v>
      </c>
      <c r="J67" s="2">
        <f t="shared" si="2"/>
        <v>-1</v>
      </c>
      <c r="K67" s="4" t="s">
        <v>227</v>
      </c>
      <c r="L67">
        <v>2</v>
      </c>
      <c r="M67" t="s">
        <v>30</v>
      </c>
      <c r="N67" t="s">
        <v>232</v>
      </c>
      <c r="O67" t="s">
        <v>24</v>
      </c>
      <c r="P67" t="s">
        <v>24</v>
      </c>
      <c r="Q67" t="s">
        <v>24</v>
      </c>
      <c r="R67" t="s">
        <v>17</v>
      </c>
      <c r="S67" t="s">
        <v>184</v>
      </c>
      <c r="T67" s="8">
        <f>2/11</f>
        <v>0.18181818181818182</v>
      </c>
    </row>
    <row r="68" spans="1:28" x14ac:dyDescent="0.25">
      <c r="A68" s="1">
        <v>45888</v>
      </c>
      <c r="B68" t="s">
        <v>8</v>
      </c>
      <c r="C68" t="s">
        <v>52</v>
      </c>
      <c r="D68" t="s">
        <v>28</v>
      </c>
      <c r="E68">
        <f>4.25*0.7*20</f>
        <v>59.499999999999993</v>
      </c>
      <c r="F68" t="s">
        <v>22</v>
      </c>
      <c r="G68">
        <f>6.75*0.7*20</f>
        <v>94.5</v>
      </c>
      <c r="H68">
        <f>52.25*0.7*20</f>
        <v>731.49999999999989</v>
      </c>
      <c r="I68" s="2">
        <f t="shared" ref="I68:I70" si="7">H68/G68</f>
        <v>7.7407407407407396</v>
      </c>
      <c r="J68" s="2">
        <f t="shared" si="2"/>
        <v>0.62962962962962954</v>
      </c>
      <c r="K68" s="4"/>
      <c r="M68" t="s">
        <v>30</v>
      </c>
      <c r="N68" t="s">
        <v>230</v>
      </c>
      <c r="O68" t="s">
        <v>66</v>
      </c>
      <c r="P68" t="s">
        <v>24</v>
      </c>
      <c r="Q68" t="s">
        <v>24</v>
      </c>
      <c r="R68" t="s">
        <v>17</v>
      </c>
      <c r="S68" t="s">
        <v>185</v>
      </c>
      <c r="T68" s="8">
        <f>1/36</f>
        <v>2.7777777777777776E-2</v>
      </c>
    </row>
    <row r="69" spans="1:28" x14ac:dyDescent="0.25">
      <c r="A69" s="1">
        <v>45888</v>
      </c>
      <c r="B69" t="s">
        <v>8</v>
      </c>
      <c r="C69" t="s">
        <v>52</v>
      </c>
      <c r="D69" t="s">
        <v>28</v>
      </c>
      <c r="E69">
        <f>4.69*0.8*20</f>
        <v>75.04000000000002</v>
      </c>
      <c r="F69" t="s">
        <v>22</v>
      </c>
      <c r="G69">
        <f>6.5*20*0.8</f>
        <v>104</v>
      </c>
      <c r="H69">
        <v>800</v>
      </c>
      <c r="I69" s="2">
        <f t="shared" si="7"/>
        <v>7.6923076923076925</v>
      </c>
      <c r="J69" s="2">
        <f t="shared" si="2"/>
        <v>0.72153846153846168</v>
      </c>
      <c r="K69" s="4"/>
      <c r="M69" t="s">
        <v>30</v>
      </c>
      <c r="N69" t="s">
        <v>84</v>
      </c>
      <c r="O69" t="s">
        <v>24</v>
      </c>
      <c r="P69" t="s">
        <v>24</v>
      </c>
      <c r="Q69" t="s">
        <v>24</v>
      </c>
      <c r="R69" t="s">
        <v>17</v>
      </c>
      <c r="S69" t="s">
        <v>186</v>
      </c>
      <c r="T69" s="8">
        <f>7/11</f>
        <v>0.63636363636363635</v>
      </c>
    </row>
    <row r="70" spans="1:28" x14ac:dyDescent="0.25">
      <c r="A70" s="1">
        <v>45888</v>
      </c>
      <c r="B70" t="s">
        <v>8</v>
      </c>
      <c r="C70" t="s">
        <v>52</v>
      </c>
      <c r="D70" t="s">
        <v>21</v>
      </c>
      <c r="E70" s="7">
        <f>-0.8*20*4.25</f>
        <v>-68</v>
      </c>
      <c r="F70" t="s">
        <v>23</v>
      </c>
      <c r="G70">
        <v>68</v>
      </c>
      <c r="H70">
        <v>550</v>
      </c>
      <c r="I70" s="2">
        <f t="shared" si="7"/>
        <v>8.0882352941176467</v>
      </c>
      <c r="J70" s="2">
        <f t="shared" si="2"/>
        <v>-1</v>
      </c>
      <c r="K70" s="4" t="s">
        <v>229</v>
      </c>
      <c r="L70">
        <v>2</v>
      </c>
      <c r="M70" t="s">
        <v>31</v>
      </c>
      <c r="N70" t="s">
        <v>231</v>
      </c>
      <c r="O70" t="s">
        <v>24</v>
      </c>
      <c r="P70" t="s">
        <v>17</v>
      </c>
      <c r="Q70" t="s">
        <v>24</v>
      </c>
      <c r="R70" t="s">
        <v>24</v>
      </c>
      <c r="S70" t="s">
        <v>187</v>
      </c>
      <c r="T70" s="8">
        <f>22/36</f>
        <v>0.61111111111111116</v>
      </c>
    </row>
    <row r="71" spans="1:28" x14ac:dyDescent="0.25">
      <c r="A71" s="1">
        <v>45889</v>
      </c>
      <c r="B71" t="s">
        <v>9</v>
      </c>
      <c r="C71" t="s">
        <v>52</v>
      </c>
      <c r="D71" t="s">
        <v>57</v>
      </c>
      <c r="E71">
        <v>0</v>
      </c>
      <c r="F71" t="s">
        <v>23</v>
      </c>
      <c r="G71">
        <f>4*20*0.7</f>
        <v>56</v>
      </c>
      <c r="H71">
        <v>2000</v>
      </c>
      <c r="I71" s="2">
        <f t="shared" ref="I71:I76" si="8">H71/G71</f>
        <v>35.714285714285715</v>
      </c>
      <c r="J71" s="2">
        <f t="shared" si="2"/>
        <v>0</v>
      </c>
      <c r="K71" s="4" t="s">
        <v>233</v>
      </c>
      <c r="L71">
        <v>4</v>
      </c>
      <c r="M71" t="s">
        <v>30</v>
      </c>
      <c r="N71" t="s">
        <v>239</v>
      </c>
      <c r="O71" t="s">
        <v>17</v>
      </c>
      <c r="P71" t="s">
        <v>24</v>
      </c>
      <c r="Q71" t="s">
        <v>24</v>
      </c>
      <c r="R71" t="s">
        <v>17</v>
      </c>
      <c r="S71" t="s">
        <v>191</v>
      </c>
      <c r="T71" s="8">
        <f>21/47</f>
        <v>0.44680851063829785</v>
      </c>
      <c r="U71" t="s">
        <v>193</v>
      </c>
    </row>
    <row r="72" spans="1:28" x14ac:dyDescent="0.25">
      <c r="A72" s="1">
        <v>45889</v>
      </c>
      <c r="B72" t="s">
        <v>9</v>
      </c>
      <c r="C72" t="s">
        <v>52</v>
      </c>
      <c r="D72" t="s">
        <v>57</v>
      </c>
      <c r="E72">
        <f>0.71*0.8*-1*20</f>
        <v>-11.36</v>
      </c>
      <c r="F72" t="s">
        <v>23</v>
      </c>
      <c r="G72">
        <v>140</v>
      </c>
      <c r="H72">
        <v>2000</v>
      </c>
      <c r="I72" s="2">
        <f t="shared" si="8"/>
        <v>14.285714285714286</v>
      </c>
      <c r="J72" s="2">
        <f t="shared" si="2"/>
        <v>-8.1142857142857142E-2</v>
      </c>
      <c r="K72" s="4" t="s">
        <v>234</v>
      </c>
      <c r="L72">
        <v>3</v>
      </c>
      <c r="M72" t="s">
        <v>30</v>
      </c>
      <c r="N72" t="s">
        <v>240</v>
      </c>
      <c r="O72" t="s">
        <v>17</v>
      </c>
      <c r="P72" t="s">
        <v>24</v>
      </c>
      <c r="Q72" t="s">
        <v>24</v>
      </c>
      <c r="R72" t="s">
        <v>17</v>
      </c>
      <c r="S72" t="s">
        <v>192</v>
      </c>
      <c r="T72" s="8">
        <f>26/47</f>
        <v>0.55319148936170215</v>
      </c>
    </row>
    <row r="73" spans="1:28" x14ac:dyDescent="0.25">
      <c r="A73" s="1">
        <v>45889</v>
      </c>
      <c r="B73" t="s">
        <v>9</v>
      </c>
      <c r="C73" t="s">
        <v>52</v>
      </c>
      <c r="D73" t="s">
        <v>57</v>
      </c>
      <c r="E73">
        <f>-0.46*20*0.7</f>
        <v>-6.44</v>
      </c>
      <c r="F73" t="s">
        <v>22</v>
      </c>
      <c r="G73">
        <f>6.25*20*0.7</f>
        <v>87.5</v>
      </c>
      <c r="H73">
        <v>980</v>
      </c>
      <c r="I73" s="2">
        <f t="shared" si="8"/>
        <v>11.2</v>
      </c>
      <c r="J73" s="2">
        <f t="shared" si="2"/>
        <v>-7.3599999999999999E-2</v>
      </c>
      <c r="K73" s="4" t="s">
        <v>235</v>
      </c>
      <c r="L73">
        <v>3</v>
      </c>
      <c r="M73" t="s">
        <v>31</v>
      </c>
      <c r="N73" t="s">
        <v>241</v>
      </c>
      <c r="O73" t="s">
        <v>24</v>
      </c>
      <c r="P73" t="s">
        <v>24</v>
      </c>
      <c r="Q73" t="s">
        <v>24</v>
      </c>
      <c r="R73" t="s">
        <v>24</v>
      </c>
      <c r="S73" t="s">
        <v>194</v>
      </c>
    </row>
    <row r="74" spans="1:28" x14ac:dyDescent="0.25">
      <c r="A74" s="1">
        <v>45889</v>
      </c>
      <c r="B74" t="s">
        <v>9</v>
      </c>
      <c r="C74" t="s">
        <v>52</v>
      </c>
      <c r="D74" t="s">
        <v>28</v>
      </c>
      <c r="E74">
        <f>41.07*0.7*20</f>
        <v>574.98</v>
      </c>
      <c r="F74" t="s">
        <v>23</v>
      </c>
      <c r="G74">
        <f>5.6*20</f>
        <v>112</v>
      </c>
      <c r="H74">
        <v>1500</v>
      </c>
      <c r="I74" s="2">
        <f t="shared" si="8"/>
        <v>13.392857142857142</v>
      </c>
      <c r="J74" s="2">
        <f t="shared" si="2"/>
        <v>5.13375</v>
      </c>
      <c r="K74" s="4" t="s">
        <v>236</v>
      </c>
      <c r="L74">
        <v>6</v>
      </c>
      <c r="M74" t="s">
        <v>30</v>
      </c>
      <c r="N74" t="s">
        <v>242</v>
      </c>
      <c r="O74" t="s">
        <v>17</v>
      </c>
      <c r="P74" t="s">
        <v>24</v>
      </c>
      <c r="Q74" t="s">
        <v>24</v>
      </c>
      <c r="R74" t="s">
        <v>17</v>
      </c>
      <c r="S74" t="s">
        <v>195</v>
      </c>
      <c r="T74" t="s">
        <v>196</v>
      </c>
      <c r="U74" t="s">
        <v>197</v>
      </c>
      <c r="V74" t="s">
        <v>198</v>
      </c>
      <c r="W74" t="s">
        <v>199</v>
      </c>
      <c r="Y74" t="s">
        <v>200</v>
      </c>
      <c r="Z74" t="s">
        <v>201</v>
      </c>
      <c r="AA74" t="s">
        <v>202</v>
      </c>
      <c r="AB74" t="s">
        <v>203</v>
      </c>
    </row>
    <row r="75" spans="1:28" x14ac:dyDescent="0.25">
      <c r="A75" s="1">
        <v>45889</v>
      </c>
      <c r="B75" t="s">
        <v>9</v>
      </c>
      <c r="C75" t="s">
        <v>52</v>
      </c>
      <c r="D75" t="s">
        <v>21</v>
      </c>
      <c r="E75" s="7">
        <f>4.75*0.7*-20</f>
        <v>-66.5</v>
      </c>
      <c r="F75" t="s">
        <v>22</v>
      </c>
      <c r="G75">
        <f>0.56*200</f>
        <v>112.00000000000001</v>
      </c>
      <c r="H75">
        <v>1500</v>
      </c>
      <c r="I75" s="2">
        <f t="shared" si="8"/>
        <v>13.392857142857141</v>
      </c>
      <c r="J75" s="2">
        <f t="shared" si="2"/>
        <v>-0.59374999999999989</v>
      </c>
      <c r="K75" s="3">
        <v>0.3972222222222222</v>
      </c>
      <c r="L75">
        <v>1</v>
      </c>
      <c r="M75" t="s">
        <v>238</v>
      </c>
      <c r="N75" t="s">
        <v>59</v>
      </c>
      <c r="O75" t="s">
        <v>24</v>
      </c>
      <c r="P75" t="s">
        <v>24</v>
      </c>
      <c r="Q75" t="s">
        <v>24</v>
      </c>
      <c r="R75" t="s">
        <v>24</v>
      </c>
      <c r="S75" t="s">
        <v>217</v>
      </c>
    </row>
    <row r="76" spans="1:28" x14ac:dyDescent="0.25">
      <c r="A76" s="1">
        <v>45889</v>
      </c>
      <c r="B76" t="s">
        <v>9</v>
      </c>
      <c r="C76" t="s">
        <v>52</v>
      </c>
      <c r="D76" t="s">
        <v>57</v>
      </c>
      <c r="E76">
        <f>-0.25*0.7*20</f>
        <v>-3.5</v>
      </c>
      <c r="F76" t="s">
        <v>22</v>
      </c>
      <c r="G76">
        <f>0.56*200</f>
        <v>112.00000000000001</v>
      </c>
      <c r="H76">
        <v>1500</v>
      </c>
      <c r="I76" s="2">
        <f t="shared" si="8"/>
        <v>13.392857142857141</v>
      </c>
      <c r="J76" s="2">
        <f t="shared" si="2"/>
        <v>-3.1249999999999997E-2</v>
      </c>
      <c r="K76" s="4" t="s">
        <v>237</v>
      </c>
      <c r="L76">
        <v>2</v>
      </c>
      <c r="M76" t="s">
        <v>30</v>
      </c>
      <c r="N76" t="s">
        <v>243</v>
      </c>
      <c r="O76" t="s">
        <v>24</v>
      </c>
      <c r="P76" t="s">
        <v>24</v>
      </c>
      <c r="Q76" t="s">
        <v>24</v>
      </c>
      <c r="R76" t="s">
        <v>17</v>
      </c>
      <c r="S76" t="s">
        <v>228</v>
      </c>
    </row>
    <row r="77" spans="1:28" x14ac:dyDescent="0.25">
      <c r="A77" s="1">
        <v>45890</v>
      </c>
      <c r="B77" t="s">
        <v>10</v>
      </c>
      <c r="C77" t="s">
        <v>52</v>
      </c>
      <c r="D77" t="s">
        <v>245</v>
      </c>
      <c r="E77" s="7">
        <f>14*-6.25</f>
        <v>-87.5</v>
      </c>
      <c r="F77" t="s">
        <v>22</v>
      </c>
      <c r="G77">
        <v>87.5</v>
      </c>
      <c r="H77">
        <f>14*55</f>
        <v>770</v>
      </c>
      <c r="I77" s="2">
        <f t="shared" ref="I77:I80" si="9">H77/G77</f>
        <v>8.8000000000000007</v>
      </c>
      <c r="J77" s="2">
        <f t="shared" si="2"/>
        <v>-1</v>
      </c>
      <c r="K77" s="3">
        <v>0.35833333333333334</v>
      </c>
      <c r="L77">
        <v>1</v>
      </c>
      <c r="M77" t="s">
        <v>30</v>
      </c>
      <c r="N77" t="s">
        <v>252</v>
      </c>
      <c r="O77" t="s">
        <v>24</v>
      </c>
      <c r="P77" t="s">
        <v>17</v>
      </c>
      <c r="Q77" t="s">
        <v>24</v>
      </c>
      <c r="R77" t="s">
        <v>24</v>
      </c>
      <c r="S77" t="s">
        <v>244</v>
      </c>
    </row>
    <row r="78" spans="1:28" x14ac:dyDescent="0.25">
      <c r="A78" s="1">
        <v>45890</v>
      </c>
      <c r="B78" t="s">
        <v>10</v>
      </c>
      <c r="C78" t="s">
        <v>52</v>
      </c>
      <c r="D78" t="s">
        <v>246</v>
      </c>
      <c r="E78">
        <f>14*44.5</f>
        <v>623</v>
      </c>
      <c r="F78" t="s">
        <v>23</v>
      </c>
      <c r="G78">
        <f>14*10</f>
        <v>140</v>
      </c>
      <c r="H78">
        <v>623</v>
      </c>
      <c r="I78" s="2">
        <f t="shared" si="9"/>
        <v>4.45</v>
      </c>
      <c r="J78" s="2">
        <f t="shared" si="2"/>
        <v>4.45</v>
      </c>
      <c r="K78" s="3" t="s">
        <v>248</v>
      </c>
      <c r="L78">
        <v>3</v>
      </c>
      <c r="M78" t="s">
        <v>250</v>
      </c>
      <c r="N78" t="s">
        <v>251</v>
      </c>
      <c r="O78" t="s">
        <v>17</v>
      </c>
      <c r="P78" t="s">
        <v>24</v>
      </c>
      <c r="Q78" t="s">
        <v>24</v>
      </c>
      <c r="R78" t="s">
        <v>17</v>
      </c>
      <c r="S78" t="s">
        <v>253</v>
      </c>
    </row>
    <row r="79" spans="1:28" x14ac:dyDescent="0.25">
      <c r="A79" s="1">
        <v>45890</v>
      </c>
      <c r="B79" t="s">
        <v>10</v>
      </c>
      <c r="C79" t="s">
        <v>52</v>
      </c>
      <c r="D79" t="s">
        <v>247</v>
      </c>
      <c r="E79" s="7">
        <f>14*-22</f>
        <v>-308</v>
      </c>
      <c r="F79" t="s">
        <v>22</v>
      </c>
      <c r="G79">
        <v>308</v>
      </c>
      <c r="H79">
        <v>900</v>
      </c>
      <c r="I79" s="2">
        <f t="shared" si="9"/>
        <v>2.9220779220779223</v>
      </c>
      <c r="J79" s="2">
        <f t="shared" si="2"/>
        <v>-1</v>
      </c>
      <c r="K79" s="3">
        <v>0.36805555555555558</v>
      </c>
      <c r="L79">
        <v>1</v>
      </c>
      <c r="M79" t="s">
        <v>212</v>
      </c>
      <c r="N79" t="s">
        <v>75</v>
      </c>
      <c r="O79" t="s">
        <v>24</v>
      </c>
      <c r="P79" t="s">
        <v>110</v>
      </c>
      <c r="Q79" t="s">
        <v>17</v>
      </c>
      <c r="R79" t="s">
        <v>24</v>
      </c>
      <c r="S79" t="s">
        <v>259</v>
      </c>
    </row>
    <row r="80" spans="1:28" x14ac:dyDescent="0.25">
      <c r="A80" s="1">
        <v>45890</v>
      </c>
      <c r="B80" t="s">
        <v>10</v>
      </c>
      <c r="C80" t="s">
        <v>52</v>
      </c>
      <c r="D80" t="s">
        <v>245</v>
      </c>
      <c r="E80" s="7">
        <f>14*-7.5</f>
        <v>-105</v>
      </c>
      <c r="F80" t="s">
        <v>23</v>
      </c>
      <c r="G80">
        <v>105</v>
      </c>
      <c r="H80">
        <v>770</v>
      </c>
      <c r="I80" s="2">
        <f t="shared" si="9"/>
        <v>7.333333333333333</v>
      </c>
      <c r="J80" s="2">
        <f t="shared" si="2"/>
        <v>-1</v>
      </c>
      <c r="K80" s="4" t="s">
        <v>249</v>
      </c>
      <c r="L80">
        <v>2</v>
      </c>
      <c r="M80" t="s">
        <v>212</v>
      </c>
      <c r="N80" t="s">
        <v>75</v>
      </c>
      <c r="O80" t="s">
        <v>24</v>
      </c>
      <c r="P80" t="s">
        <v>24</v>
      </c>
      <c r="Q80" t="s">
        <v>24</v>
      </c>
      <c r="R80" t="s">
        <v>24</v>
      </c>
    </row>
    <row r="81" spans="1:19" x14ac:dyDescent="0.25">
      <c r="A81" s="1">
        <v>45891</v>
      </c>
      <c r="B81" t="s">
        <v>11</v>
      </c>
      <c r="C81" t="s">
        <v>52</v>
      </c>
      <c r="D81" t="s">
        <v>254</v>
      </c>
      <c r="E81">
        <f>30.75*14</f>
        <v>430.5</v>
      </c>
      <c r="F81" t="s">
        <v>22</v>
      </c>
      <c r="G81">
        <f>8*14</f>
        <v>112</v>
      </c>
      <c r="H81">
        <f>75.25*14</f>
        <v>1053.5</v>
      </c>
      <c r="I81" s="2">
        <f t="shared" ref="I81:I82" si="10">H81/G81</f>
        <v>9.40625</v>
      </c>
      <c r="J81" s="2">
        <f t="shared" si="2"/>
        <v>3.84375</v>
      </c>
      <c r="K81" s="4" t="s">
        <v>255</v>
      </c>
      <c r="L81">
        <v>8</v>
      </c>
      <c r="M81" t="s">
        <v>30</v>
      </c>
      <c r="N81" t="s">
        <v>258</v>
      </c>
      <c r="O81" t="s">
        <v>17</v>
      </c>
      <c r="P81" t="s">
        <v>24</v>
      </c>
      <c r="Q81" t="s">
        <v>24</v>
      </c>
      <c r="R81" t="s">
        <v>110</v>
      </c>
    </row>
    <row r="82" spans="1:19" x14ac:dyDescent="0.25">
      <c r="A82" s="1">
        <v>45891</v>
      </c>
      <c r="B82" t="s">
        <v>11</v>
      </c>
      <c r="C82" t="s">
        <v>52</v>
      </c>
      <c r="D82" t="s">
        <v>148</v>
      </c>
      <c r="E82">
        <f>58.5*14</f>
        <v>819</v>
      </c>
      <c r="F82" t="s">
        <v>23</v>
      </c>
      <c r="G82">
        <f>5.25*14</f>
        <v>73.5</v>
      </c>
      <c r="H82">
        <v>819</v>
      </c>
      <c r="I82" s="2">
        <f t="shared" si="10"/>
        <v>11.142857142857142</v>
      </c>
      <c r="J82" s="2">
        <f t="shared" si="2"/>
        <v>11.142857142857142</v>
      </c>
      <c r="K82" s="4" t="s">
        <v>256</v>
      </c>
      <c r="L82">
        <v>5</v>
      </c>
      <c r="M82" t="s">
        <v>30</v>
      </c>
      <c r="N82" t="s">
        <v>257</v>
      </c>
      <c r="O82" t="s">
        <v>17</v>
      </c>
      <c r="P82" t="s">
        <v>24</v>
      </c>
      <c r="Q82" t="s">
        <v>24</v>
      </c>
      <c r="R82" t="s">
        <v>110</v>
      </c>
    </row>
    <row r="83" spans="1:19" x14ac:dyDescent="0.25">
      <c r="A83" s="1">
        <v>45894</v>
      </c>
      <c r="B83" t="s">
        <v>7</v>
      </c>
      <c r="C83" t="s">
        <v>52</v>
      </c>
      <c r="D83" t="s">
        <v>173</v>
      </c>
      <c r="E83" s="7">
        <f>-18*7.5</f>
        <v>-135</v>
      </c>
      <c r="F83" t="s">
        <v>23</v>
      </c>
      <c r="G83">
        <v>135</v>
      </c>
      <c r="H83">
        <f>18*40</f>
        <v>720</v>
      </c>
      <c r="I83" s="2">
        <f t="shared" ref="I83:I86" si="11">H83/G83</f>
        <v>5.333333333333333</v>
      </c>
      <c r="J83" s="2">
        <f t="shared" si="2"/>
        <v>-1</v>
      </c>
      <c r="K83" s="4" t="s">
        <v>260</v>
      </c>
      <c r="L83">
        <v>2</v>
      </c>
      <c r="M83" t="s">
        <v>261</v>
      </c>
      <c r="N83" t="s">
        <v>262</v>
      </c>
      <c r="O83" t="s">
        <v>110</v>
      </c>
      <c r="P83" t="s">
        <v>24</v>
      </c>
      <c r="Q83" t="s">
        <v>24</v>
      </c>
      <c r="R83" t="s">
        <v>263</v>
      </c>
      <c r="S83" t="s">
        <v>264</v>
      </c>
    </row>
    <row r="84" spans="1:19" x14ac:dyDescent="0.25">
      <c r="A84" s="1">
        <v>45895</v>
      </c>
      <c r="B84" t="s">
        <v>8</v>
      </c>
      <c r="C84" t="s">
        <v>52</v>
      </c>
      <c r="D84" t="s">
        <v>173</v>
      </c>
      <c r="E84" s="5">
        <f>2.18*0.6*-20</f>
        <v>-26.16</v>
      </c>
      <c r="F84" t="s">
        <v>22</v>
      </c>
      <c r="G84">
        <v>26.16</v>
      </c>
      <c r="H84">
        <v>1000</v>
      </c>
      <c r="I84" s="2">
        <f t="shared" si="11"/>
        <v>38.226299694189599</v>
      </c>
      <c r="J84" s="2">
        <f t="shared" si="2"/>
        <v>-1</v>
      </c>
      <c r="K84" s="4" t="s">
        <v>266</v>
      </c>
      <c r="L84">
        <v>2</v>
      </c>
      <c r="M84" t="s">
        <v>31</v>
      </c>
      <c r="N84" t="s">
        <v>270</v>
      </c>
      <c r="O84" t="s">
        <v>17</v>
      </c>
      <c r="P84" t="s">
        <v>24</v>
      </c>
      <c r="Q84" t="s">
        <v>24</v>
      </c>
      <c r="R84" t="s">
        <v>17</v>
      </c>
    </row>
    <row r="85" spans="1:19" x14ac:dyDescent="0.25">
      <c r="A85" s="1">
        <v>45895</v>
      </c>
      <c r="B85" t="s">
        <v>8</v>
      </c>
      <c r="C85" t="s">
        <v>52</v>
      </c>
      <c r="D85" t="s">
        <v>265</v>
      </c>
      <c r="E85">
        <f>0.75*1.2*-20</f>
        <v>-18</v>
      </c>
      <c r="F85" t="s">
        <v>22</v>
      </c>
      <c r="G85">
        <f>5.5*24</f>
        <v>132</v>
      </c>
      <c r="H85">
        <v>800</v>
      </c>
      <c r="I85" s="2">
        <f t="shared" si="11"/>
        <v>6.0606060606060606</v>
      </c>
      <c r="J85" s="2">
        <f t="shared" si="2"/>
        <v>-0.13636363636363635</v>
      </c>
      <c r="K85" s="4" t="s">
        <v>47</v>
      </c>
      <c r="L85">
        <v>2</v>
      </c>
      <c r="M85" t="s">
        <v>31</v>
      </c>
      <c r="N85" t="s">
        <v>269</v>
      </c>
      <c r="O85" t="s">
        <v>24</v>
      </c>
      <c r="P85" t="s">
        <v>24</v>
      </c>
      <c r="Q85" t="s">
        <v>24</v>
      </c>
      <c r="R85" t="s">
        <v>24</v>
      </c>
    </row>
    <row r="86" spans="1:19" x14ac:dyDescent="0.25">
      <c r="A86" s="1">
        <v>45895</v>
      </c>
      <c r="B86" t="s">
        <v>8</v>
      </c>
      <c r="C86" t="s">
        <v>52</v>
      </c>
      <c r="D86" t="s">
        <v>265</v>
      </c>
      <c r="E86">
        <f>39*24</f>
        <v>936</v>
      </c>
      <c r="F86" t="s">
        <v>22</v>
      </c>
      <c r="G86">
        <f>6*24</f>
        <v>144</v>
      </c>
      <c r="H86">
        <v>936</v>
      </c>
      <c r="I86" s="2">
        <f t="shared" si="11"/>
        <v>6.5</v>
      </c>
      <c r="J86" s="2">
        <f t="shared" si="2"/>
        <v>6.5</v>
      </c>
      <c r="K86" s="4" t="s">
        <v>267</v>
      </c>
      <c r="L86">
        <v>2</v>
      </c>
      <c r="M86" t="s">
        <v>30</v>
      </c>
      <c r="N86" t="s">
        <v>268</v>
      </c>
      <c r="O86" t="s">
        <v>17</v>
      </c>
      <c r="P86" t="s">
        <v>24</v>
      </c>
      <c r="Q86" t="s">
        <v>24</v>
      </c>
      <c r="R86" t="s">
        <v>113</v>
      </c>
    </row>
    <row r="87" spans="1:19" x14ac:dyDescent="0.25">
      <c r="A87" s="1">
        <v>45896</v>
      </c>
      <c r="B87" t="s">
        <v>9</v>
      </c>
      <c r="C87" t="s">
        <v>52</v>
      </c>
      <c r="D87" t="s">
        <v>173</v>
      </c>
      <c r="E87" s="7">
        <f>4.75*-18</f>
        <v>-85.5</v>
      </c>
      <c r="F87" t="s">
        <v>23</v>
      </c>
      <c r="G87">
        <v>85.5</v>
      </c>
      <c r="H87">
        <f>40*18</f>
        <v>720</v>
      </c>
      <c r="I87" s="2">
        <f t="shared" ref="I87" si="12">H87/G87</f>
        <v>8.4210526315789469</v>
      </c>
      <c r="J87" s="2">
        <f t="shared" si="2"/>
        <v>-1</v>
      </c>
      <c r="K87" s="4" t="s">
        <v>130</v>
      </c>
      <c r="L87">
        <v>2</v>
      </c>
      <c r="M87" t="s">
        <v>30</v>
      </c>
      <c r="N87" t="s">
        <v>273</v>
      </c>
      <c r="O87" t="s">
        <v>24</v>
      </c>
      <c r="P87" t="s">
        <v>24</v>
      </c>
      <c r="Q87" t="s">
        <v>24</v>
      </c>
      <c r="R87" t="s">
        <v>113</v>
      </c>
    </row>
    <row r="88" spans="1:19" x14ac:dyDescent="0.25">
      <c r="A88" s="1">
        <v>45896</v>
      </c>
      <c r="B88" t="s">
        <v>9</v>
      </c>
      <c r="C88" t="s">
        <v>52</v>
      </c>
      <c r="D88" t="s">
        <v>21</v>
      </c>
      <c r="E88" s="7">
        <f>1.06*-18</f>
        <v>-19.080000000000002</v>
      </c>
      <c r="F88" t="s">
        <v>23</v>
      </c>
      <c r="G88">
        <f>3*18</f>
        <v>54</v>
      </c>
      <c r="H88">
        <f>40*18</f>
        <v>720</v>
      </c>
      <c r="I88" s="2">
        <f t="shared" ref="I88:I92" si="13">H88/G88</f>
        <v>13.333333333333334</v>
      </c>
      <c r="J88" s="2">
        <f t="shared" si="2"/>
        <v>-0.35333333333333339</v>
      </c>
      <c r="K88" s="4" t="s">
        <v>271</v>
      </c>
      <c r="L88">
        <v>3</v>
      </c>
      <c r="M88" t="s">
        <v>30</v>
      </c>
      <c r="N88" t="s">
        <v>272</v>
      </c>
      <c r="O88" t="s">
        <v>24</v>
      </c>
      <c r="P88" t="s">
        <v>24</v>
      </c>
      <c r="Q88" t="s">
        <v>24</v>
      </c>
      <c r="R88" t="s">
        <v>113</v>
      </c>
    </row>
    <row r="89" spans="1:19" x14ac:dyDescent="0.25">
      <c r="A89" s="1">
        <v>45896</v>
      </c>
      <c r="B89" t="s">
        <v>9</v>
      </c>
      <c r="C89" t="s">
        <v>52</v>
      </c>
      <c r="D89" t="s">
        <v>148</v>
      </c>
      <c r="E89">
        <f>20*28.25</f>
        <v>565</v>
      </c>
      <c r="F89" t="s">
        <v>22</v>
      </c>
      <c r="G89">
        <v>70</v>
      </c>
      <c r="H89">
        <v>565</v>
      </c>
      <c r="I89" s="2">
        <f t="shared" si="13"/>
        <v>8.0714285714285712</v>
      </c>
      <c r="J89" s="2">
        <f t="shared" si="2"/>
        <v>8.0714285714285712</v>
      </c>
      <c r="K89" s="4" t="s">
        <v>274</v>
      </c>
      <c r="L89">
        <v>14</v>
      </c>
      <c r="M89" t="s">
        <v>30</v>
      </c>
      <c r="N89" t="s">
        <v>275</v>
      </c>
      <c r="O89" t="s">
        <v>17</v>
      </c>
      <c r="P89" t="s">
        <v>24</v>
      </c>
      <c r="Q89" t="s">
        <v>24</v>
      </c>
      <c r="R89" t="s">
        <v>276</v>
      </c>
      <c r="S89" t="s">
        <v>277</v>
      </c>
    </row>
    <row r="90" spans="1:19" x14ac:dyDescent="0.25">
      <c r="A90" s="1">
        <v>45897</v>
      </c>
      <c r="B90" t="s">
        <v>10</v>
      </c>
      <c r="C90" t="s">
        <v>52</v>
      </c>
      <c r="D90" t="s">
        <v>21</v>
      </c>
      <c r="E90" s="7">
        <f>14*3.5*-1</f>
        <v>-49</v>
      </c>
      <c r="F90" t="s">
        <v>23</v>
      </c>
      <c r="G90">
        <v>49</v>
      </c>
      <c r="H90">
        <f>14*40</f>
        <v>560</v>
      </c>
      <c r="I90" s="2">
        <f t="shared" si="13"/>
        <v>11.428571428571429</v>
      </c>
      <c r="J90" s="2">
        <f t="shared" si="2"/>
        <v>-1</v>
      </c>
      <c r="K90" s="4" t="s">
        <v>278</v>
      </c>
      <c r="L90">
        <v>3</v>
      </c>
      <c r="M90" t="s">
        <v>279</v>
      </c>
      <c r="N90" t="s">
        <v>280</v>
      </c>
      <c r="O90" t="s">
        <v>282</v>
      </c>
      <c r="P90" t="s">
        <v>24</v>
      </c>
      <c r="Q90" t="s">
        <v>24</v>
      </c>
      <c r="R90" t="s">
        <v>283</v>
      </c>
    </row>
    <row r="91" spans="1:19" x14ac:dyDescent="0.25">
      <c r="A91" s="1">
        <v>45897</v>
      </c>
      <c r="B91" t="s">
        <v>10</v>
      </c>
      <c r="C91" t="s">
        <v>52</v>
      </c>
      <c r="D91" t="s">
        <v>21</v>
      </c>
      <c r="E91" s="7">
        <f>14*3.5*-1</f>
        <v>-49</v>
      </c>
      <c r="F91" t="s">
        <v>22</v>
      </c>
      <c r="G91">
        <v>49</v>
      </c>
      <c r="H91">
        <f>14*40</f>
        <v>560</v>
      </c>
      <c r="I91" s="2">
        <f t="shared" si="13"/>
        <v>11.428571428571429</v>
      </c>
      <c r="J91" s="2">
        <f t="shared" si="2"/>
        <v>-1</v>
      </c>
      <c r="K91" s="9">
        <v>0.41875000000000001</v>
      </c>
      <c r="L91">
        <v>1</v>
      </c>
      <c r="M91" t="s">
        <v>31</v>
      </c>
      <c r="N91" t="s">
        <v>281</v>
      </c>
      <c r="O91" t="s">
        <v>282</v>
      </c>
      <c r="P91" t="s">
        <v>24</v>
      </c>
      <c r="Q91" t="s">
        <v>24</v>
      </c>
      <c r="R91" t="s">
        <v>283</v>
      </c>
    </row>
    <row r="92" spans="1:19" x14ac:dyDescent="0.25">
      <c r="A92" s="1">
        <v>45898</v>
      </c>
      <c r="B92" t="s">
        <v>11</v>
      </c>
      <c r="C92" t="s">
        <v>52</v>
      </c>
      <c r="D92" t="s">
        <v>148</v>
      </c>
      <c r="E92">
        <v>784</v>
      </c>
      <c r="F92" t="s">
        <v>23</v>
      </c>
      <c r="G92">
        <f>5.75*16</f>
        <v>92</v>
      </c>
      <c r="H92">
        <v>784</v>
      </c>
      <c r="I92" s="2">
        <f t="shared" si="13"/>
        <v>8.5217391304347831</v>
      </c>
      <c r="J92" s="2">
        <f t="shared" si="2"/>
        <v>8.5217391304347831</v>
      </c>
      <c r="K92" s="4" t="s">
        <v>284</v>
      </c>
      <c r="L92">
        <v>3</v>
      </c>
      <c r="M92" t="s">
        <v>30</v>
      </c>
      <c r="N92" t="s">
        <v>285</v>
      </c>
      <c r="O92" t="s">
        <v>110</v>
      </c>
      <c r="P92" t="s">
        <v>24</v>
      </c>
      <c r="Q92" t="s">
        <v>24</v>
      </c>
      <c r="R92" t="s">
        <v>110</v>
      </c>
      <c r="S92" t="s">
        <v>286</v>
      </c>
    </row>
    <row r="93" spans="1:19" x14ac:dyDescent="0.25">
      <c r="A93" s="1">
        <v>45902</v>
      </c>
      <c r="B93" t="s">
        <v>8</v>
      </c>
      <c r="C93" t="s">
        <v>52</v>
      </c>
      <c r="D93" t="s">
        <v>173</v>
      </c>
      <c r="E93" s="7">
        <v>-138</v>
      </c>
      <c r="F93" t="s">
        <v>23</v>
      </c>
      <c r="G93">
        <v>138</v>
      </c>
      <c r="H93">
        <f>12*65</f>
        <v>780</v>
      </c>
      <c r="I93" s="2">
        <f>H93/G93</f>
        <v>5.6521739130434785</v>
      </c>
      <c r="J93" s="2">
        <f t="shared" si="2"/>
        <v>-1</v>
      </c>
      <c r="K93" s="9">
        <v>0.36666666666666664</v>
      </c>
      <c r="L93">
        <v>1</v>
      </c>
      <c r="M93" t="s">
        <v>30</v>
      </c>
      <c r="N93" t="s">
        <v>285</v>
      </c>
      <c r="O93" t="s">
        <v>24</v>
      </c>
      <c r="P93" t="s">
        <v>24</v>
      </c>
      <c r="Q93" t="s">
        <v>24</v>
      </c>
      <c r="R93" t="s">
        <v>283</v>
      </c>
      <c r="S93" t="s">
        <v>289</v>
      </c>
    </row>
    <row r="94" spans="1:19" x14ac:dyDescent="0.25">
      <c r="A94" s="1">
        <v>45902</v>
      </c>
      <c r="B94" t="s">
        <v>8</v>
      </c>
      <c r="C94" t="s">
        <v>52</v>
      </c>
      <c r="D94" t="s">
        <v>57</v>
      </c>
      <c r="E94">
        <f>-0.25*12</f>
        <v>-3</v>
      </c>
      <c r="F94" t="s">
        <v>23</v>
      </c>
      <c r="I94" s="2"/>
      <c r="J94" s="2"/>
    </row>
    <row r="95" spans="1:19" x14ac:dyDescent="0.25">
      <c r="A95" s="1">
        <v>45902</v>
      </c>
      <c r="B95" t="s">
        <v>8</v>
      </c>
      <c r="C95" t="s">
        <v>52</v>
      </c>
      <c r="D95" t="s">
        <v>21</v>
      </c>
      <c r="E95" s="7">
        <v>-42</v>
      </c>
      <c r="F95" t="s">
        <v>22</v>
      </c>
      <c r="I95" s="2"/>
      <c r="J95" s="2"/>
    </row>
    <row r="96" spans="1:19" x14ac:dyDescent="0.25">
      <c r="A96" s="1">
        <v>45903</v>
      </c>
      <c r="B96" t="s">
        <v>9</v>
      </c>
      <c r="C96" t="s">
        <v>52</v>
      </c>
      <c r="D96" t="s">
        <v>173</v>
      </c>
      <c r="E96" s="7">
        <f>-16*4.25</f>
        <v>-68</v>
      </c>
      <c r="F96" t="s">
        <v>22</v>
      </c>
      <c r="G96">
        <v>68</v>
      </c>
      <c r="H96">
        <v>750</v>
      </c>
      <c r="I96" s="2">
        <f t="shared" ref="I96:I97" si="14">H96/G96</f>
        <v>11.029411764705882</v>
      </c>
      <c r="J96" s="2">
        <f t="shared" ref="J96:J108" si="15">E96/G96</f>
        <v>-1</v>
      </c>
      <c r="K96" s="9">
        <v>0.35138888888888886</v>
      </c>
      <c r="L96">
        <v>1</v>
      </c>
      <c r="M96" t="s">
        <v>30</v>
      </c>
      <c r="N96" t="s">
        <v>59</v>
      </c>
      <c r="O96" t="s">
        <v>111</v>
      </c>
      <c r="P96" t="s">
        <v>111</v>
      </c>
      <c r="Q96" t="s">
        <v>111</v>
      </c>
      <c r="R96" t="s">
        <v>111</v>
      </c>
    </row>
    <row r="97" spans="1:21" x14ac:dyDescent="0.25">
      <c r="A97" s="1">
        <v>45903</v>
      </c>
      <c r="B97" t="s">
        <v>9</v>
      </c>
      <c r="C97" t="s">
        <v>52</v>
      </c>
      <c r="D97" t="s">
        <v>173</v>
      </c>
      <c r="E97" s="7">
        <f>-16*7.75</f>
        <v>-124</v>
      </c>
      <c r="F97" t="s">
        <v>22</v>
      </c>
      <c r="G97">
        <v>124</v>
      </c>
      <c r="H97">
        <v>1200</v>
      </c>
      <c r="I97" s="2">
        <f t="shared" si="14"/>
        <v>9.67741935483871</v>
      </c>
      <c r="J97" s="2">
        <f t="shared" si="15"/>
        <v>-1</v>
      </c>
      <c r="K97" s="4" t="s">
        <v>290</v>
      </c>
      <c r="L97">
        <v>2</v>
      </c>
      <c r="M97" t="s">
        <v>30</v>
      </c>
      <c r="N97" t="s">
        <v>226</v>
      </c>
      <c r="O97" t="s">
        <v>111</v>
      </c>
      <c r="P97" t="s">
        <v>111</v>
      </c>
      <c r="Q97" t="s">
        <v>111</v>
      </c>
      <c r="R97" t="s">
        <v>111</v>
      </c>
      <c r="S97" t="s">
        <v>287</v>
      </c>
      <c r="T97" s="5">
        <f>SUM(E2:E92)</f>
        <v>10081.860000000002</v>
      </c>
      <c r="U97" s="5" t="s">
        <v>288</v>
      </c>
    </row>
    <row r="98" spans="1:21" x14ac:dyDescent="0.25">
      <c r="A98" s="1">
        <v>45904</v>
      </c>
      <c r="B98" t="s">
        <v>10</v>
      </c>
      <c r="C98" t="s">
        <v>52</v>
      </c>
      <c r="D98" t="s">
        <v>173</v>
      </c>
      <c r="E98" s="7">
        <v>-12</v>
      </c>
      <c r="F98" t="s">
        <v>23</v>
      </c>
      <c r="G98">
        <v>12</v>
      </c>
      <c r="H98">
        <f>24*60</f>
        <v>1440</v>
      </c>
      <c r="I98" s="2">
        <f t="shared" ref="I98" si="16">H98/G98</f>
        <v>120</v>
      </c>
      <c r="J98" s="2">
        <f t="shared" si="15"/>
        <v>-1</v>
      </c>
      <c r="K98" t="s">
        <v>291</v>
      </c>
      <c r="L98">
        <v>4</v>
      </c>
      <c r="M98" t="s">
        <v>30</v>
      </c>
      <c r="N98" t="s">
        <v>292</v>
      </c>
      <c r="O98" t="s">
        <v>24</v>
      </c>
      <c r="P98" t="s">
        <v>24</v>
      </c>
      <c r="Q98" t="s">
        <v>24</v>
      </c>
      <c r="R98" t="s">
        <v>17</v>
      </c>
      <c r="S98" t="s">
        <v>293</v>
      </c>
    </row>
    <row r="99" spans="1:21" x14ac:dyDescent="0.25">
      <c r="A99" s="1">
        <v>45905</v>
      </c>
      <c r="B99" t="s">
        <v>11</v>
      </c>
      <c r="C99" t="s">
        <v>53</v>
      </c>
      <c r="D99" t="s">
        <v>173</v>
      </c>
      <c r="E99" s="7">
        <v>-90</v>
      </c>
      <c r="F99" t="s">
        <v>22</v>
      </c>
      <c r="G99">
        <v>90</v>
      </c>
      <c r="H99">
        <f>10*80</f>
        <v>800</v>
      </c>
      <c r="I99" s="2">
        <f t="shared" ref="I99:I100" si="17">H99/G99</f>
        <v>8.8888888888888893</v>
      </c>
      <c r="J99" s="2">
        <f t="shared" si="15"/>
        <v>-1</v>
      </c>
      <c r="K99" s="4" t="s">
        <v>260</v>
      </c>
      <c r="L99">
        <v>2</v>
      </c>
      <c r="M99" t="s">
        <v>30</v>
      </c>
      <c r="N99" t="s">
        <v>294</v>
      </c>
      <c r="O99" t="s">
        <v>24</v>
      </c>
      <c r="P99" t="s">
        <v>17</v>
      </c>
      <c r="Q99" t="s">
        <v>24</v>
      </c>
      <c r="R99" t="s">
        <v>111</v>
      </c>
    </row>
    <row r="100" spans="1:21" x14ac:dyDescent="0.25">
      <c r="A100" s="1">
        <v>45905</v>
      </c>
      <c r="B100" t="s">
        <v>11</v>
      </c>
      <c r="C100" t="s">
        <v>52</v>
      </c>
      <c r="D100" t="s">
        <v>173</v>
      </c>
      <c r="E100" s="7">
        <f>-12*8.25</f>
        <v>-99</v>
      </c>
      <c r="F100" t="s">
        <v>22</v>
      </c>
      <c r="G100">
        <v>99</v>
      </c>
      <c r="H100">
        <f>12*70</f>
        <v>840</v>
      </c>
      <c r="I100" s="2">
        <f t="shared" si="17"/>
        <v>8.4848484848484844</v>
      </c>
      <c r="J100" s="2">
        <f t="shared" si="15"/>
        <v>-1</v>
      </c>
      <c r="K100" s="9">
        <v>0.37708333333333333</v>
      </c>
      <c r="L100">
        <v>1</v>
      </c>
      <c r="M100" t="s">
        <v>30</v>
      </c>
      <c r="N100" t="s">
        <v>59</v>
      </c>
      <c r="O100" t="s">
        <v>24</v>
      </c>
      <c r="P100" t="s">
        <v>17</v>
      </c>
      <c r="Q100" t="s">
        <v>24</v>
      </c>
      <c r="R100" t="s">
        <v>111</v>
      </c>
      <c r="S100" t="s">
        <v>295</v>
      </c>
    </row>
    <row r="101" spans="1:21" x14ac:dyDescent="0.25">
      <c r="A101" s="1">
        <v>45908</v>
      </c>
      <c r="B101" t="s">
        <v>7</v>
      </c>
      <c r="C101" t="s">
        <v>53</v>
      </c>
      <c r="D101" t="s">
        <v>173</v>
      </c>
      <c r="E101" s="7">
        <v>-100</v>
      </c>
      <c r="F101" t="s">
        <v>22</v>
      </c>
      <c r="G101">
        <v>100</v>
      </c>
      <c r="H101">
        <v>1200</v>
      </c>
      <c r="I101" s="2">
        <f t="shared" ref="I101:I106" si="18">H101/G101</f>
        <v>12</v>
      </c>
      <c r="J101" s="2">
        <f t="shared" si="15"/>
        <v>-1</v>
      </c>
      <c r="K101" t="s">
        <v>301</v>
      </c>
      <c r="L101">
        <v>2</v>
      </c>
      <c r="M101" t="s">
        <v>30</v>
      </c>
      <c r="N101" t="s">
        <v>59</v>
      </c>
      <c r="O101" t="s">
        <v>299</v>
      </c>
      <c r="P101" t="s">
        <v>24</v>
      </c>
      <c r="Q101" t="s">
        <v>24</v>
      </c>
      <c r="R101" t="s">
        <v>17</v>
      </c>
    </row>
    <row r="102" spans="1:21" x14ac:dyDescent="0.25">
      <c r="A102" s="1">
        <v>45909</v>
      </c>
      <c r="B102" t="s">
        <v>8</v>
      </c>
      <c r="C102" t="s">
        <v>52</v>
      </c>
      <c r="D102" t="s">
        <v>173</v>
      </c>
      <c r="E102" s="7">
        <f>-2.4*20*2.62</f>
        <v>-125.76</v>
      </c>
      <c r="F102" t="s">
        <v>22</v>
      </c>
      <c r="G102">
        <v>125.76</v>
      </c>
      <c r="H102">
        <v>800</v>
      </c>
      <c r="I102" s="2">
        <f t="shared" si="18"/>
        <v>6.3613231552162848</v>
      </c>
      <c r="J102" s="2">
        <f t="shared" si="15"/>
        <v>-1</v>
      </c>
      <c r="K102" t="s">
        <v>300</v>
      </c>
      <c r="L102">
        <v>2</v>
      </c>
      <c r="M102" t="s">
        <v>30</v>
      </c>
      <c r="N102" t="s">
        <v>59</v>
      </c>
      <c r="O102" t="s">
        <v>17</v>
      </c>
      <c r="P102" t="s">
        <v>297</v>
      </c>
      <c r="Q102" t="s">
        <v>24</v>
      </c>
      <c r="R102" t="s">
        <v>17</v>
      </c>
    </row>
    <row r="103" spans="1:21" x14ac:dyDescent="0.25">
      <c r="A103" s="1">
        <v>45909</v>
      </c>
      <c r="B103" t="s">
        <v>8</v>
      </c>
      <c r="C103" t="s">
        <v>52</v>
      </c>
      <c r="D103" t="s">
        <v>173</v>
      </c>
      <c r="E103" s="7">
        <f>-1.2*20*3.67</f>
        <v>-88.08</v>
      </c>
      <c r="F103" t="s">
        <v>22</v>
      </c>
      <c r="G103">
        <v>88</v>
      </c>
      <c r="H103">
        <v>800</v>
      </c>
      <c r="I103" s="2">
        <f t="shared" si="18"/>
        <v>9.0909090909090917</v>
      </c>
      <c r="J103" s="2">
        <f t="shared" si="15"/>
        <v>-1.000909090909091</v>
      </c>
      <c r="K103" s="9">
        <v>0.3923611111111111</v>
      </c>
      <c r="L103">
        <v>1</v>
      </c>
      <c r="M103" t="s">
        <v>296</v>
      </c>
      <c r="N103" t="s">
        <v>25</v>
      </c>
      <c r="O103" t="s">
        <v>24</v>
      </c>
      <c r="P103" t="s">
        <v>24</v>
      </c>
      <c r="Q103" t="s">
        <v>24</v>
      </c>
      <c r="R103" t="s">
        <v>298</v>
      </c>
      <c r="S103" t="s">
        <v>302</v>
      </c>
    </row>
    <row r="104" spans="1:21" x14ac:dyDescent="0.25">
      <c r="A104" s="1">
        <v>45910</v>
      </c>
      <c r="B104" t="s">
        <v>9</v>
      </c>
      <c r="C104" t="s">
        <v>52</v>
      </c>
      <c r="D104" t="s">
        <v>173</v>
      </c>
      <c r="E104" s="7">
        <f>-16*11.75</f>
        <v>-188</v>
      </c>
      <c r="F104" t="s">
        <v>22</v>
      </c>
      <c r="G104">
        <v>188</v>
      </c>
      <c r="H104">
        <f>43.25*16</f>
        <v>692</v>
      </c>
      <c r="I104" s="2">
        <f t="shared" si="18"/>
        <v>3.6808510638297873</v>
      </c>
      <c r="J104" s="2">
        <f t="shared" si="15"/>
        <v>-1</v>
      </c>
      <c r="K104" s="9">
        <v>0.3659722222222222</v>
      </c>
      <c r="L104">
        <v>1</v>
      </c>
      <c r="M104" t="s">
        <v>303</v>
      </c>
      <c r="N104" t="s">
        <v>59</v>
      </c>
      <c r="O104" t="s">
        <v>111</v>
      </c>
      <c r="P104" t="s">
        <v>110</v>
      </c>
      <c r="Q104" t="s">
        <v>111</v>
      </c>
      <c r="R104" t="s">
        <v>111</v>
      </c>
      <c r="S104" t="s">
        <v>304</v>
      </c>
    </row>
    <row r="105" spans="1:21" x14ac:dyDescent="0.25">
      <c r="A105" s="1">
        <v>45911</v>
      </c>
      <c r="B105" t="s">
        <v>10</v>
      </c>
      <c r="C105" t="s">
        <v>52</v>
      </c>
      <c r="D105" t="s">
        <v>173</v>
      </c>
      <c r="E105" s="7">
        <f>-6.5*16</f>
        <v>-104</v>
      </c>
      <c r="F105" t="s">
        <v>23</v>
      </c>
      <c r="G105">
        <v>104</v>
      </c>
      <c r="H105">
        <f>16*60</f>
        <v>960</v>
      </c>
      <c r="I105" s="2">
        <f t="shared" si="18"/>
        <v>9.2307692307692299</v>
      </c>
      <c r="J105" s="2">
        <f t="shared" si="15"/>
        <v>-1</v>
      </c>
      <c r="K105" t="s">
        <v>305</v>
      </c>
      <c r="L105">
        <v>2</v>
      </c>
      <c r="M105" t="s">
        <v>30</v>
      </c>
      <c r="N105" t="s">
        <v>59</v>
      </c>
      <c r="O105" t="s">
        <v>24</v>
      </c>
      <c r="P105" t="s">
        <v>17</v>
      </c>
      <c r="Q105" t="s">
        <v>24</v>
      </c>
      <c r="R105" t="s">
        <v>17</v>
      </c>
      <c r="S105" t="s">
        <v>306</v>
      </c>
    </row>
    <row r="106" spans="1:21" x14ac:dyDescent="0.25">
      <c r="A106" s="1">
        <v>45916</v>
      </c>
      <c r="B106" t="s">
        <v>8</v>
      </c>
      <c r="C106" t="s">
        <v>52</v>
      </c>
      <c r="D106" t="s">
        <v>173</v>
      </c>
      <c r="E106" s="7">
        <f>22*-6.5</f>
        <v>-143</v>
      </c>
      <c r="F106" t="s">
        <v>23</v>
      </c>
      <c r="G106">
        <v>143</v>
      </c>
      <c r="H106">
        <f>22*38</f>
        <v>836</v>
      </c>
      <c r="I106" s="2">
        <f t="shared" si="18"/>
        <v>5.8461538461538458</v>
      </c>
      <c r="J106" s="2">
        <f t="shared" si="15"/>
        <v>-1</v>
      </c>
      <c r="K106" t="s">
        <v>307</v>
      </c>
      <c r="L106">
        <v>2</v>
      </c>
      <c r="M106" t="s">
        <v>30</v>
      </c>
      <c r="N106" t="s">
        <v>308</v>
      </c>
      <c r="O106" t="s">
        <v>66</v>
      </c>
      <c r="P106" t="s">
        <v>24</v>
      </c>
      <c r="Q106" t="s">
        <v>24</v>
      </c>
      <c r="R106" t="s">
        <v>24</v>
      </c>
      <c r="S106" t="s">
        <v>309</v>
      </c>
    </row>
    <row r="107" spans="1:21" x14ac:dyDescent="0.25">
      <c r="A107" s="1">
        <v>45917</v>
      </c>
      <c r="B107" t="s">
        <v>9</v>
      </c>
      <c r="C107" t="s">
        <v>52</v>
      </c>
      <c r="D107" t="s">
        <v>57</v>
      </c>
      <c r="E107">
        <v>-12</v>
      </c>
      <c r="F107" t="s">
        <v>22</v>
      </c>
      <c r="G107">
        <f>4.5*20*1.2</f>
        <v>108</v>
      </c>
      <c r="H107">
        <f>1.2*20*43</f>
        <v>1032</v>
      </c>
      <c r="I107" s="2">
        <f t="shared" ref="I107" si="19">H107/G107</f>
        <v>9.5555555555555554</v>
      </c>
      <c r="J107" s="2">
        <f t="shared" si="15"/>
        <v>-0.1111111111111111</v>
      </c>
      <c r="K107" t="s">
        <v>311</v>
      </c>
      <c r="L107">
        <v>4</v>
      </c>
      <c r="M107" t="s">
        <v>30</v>
      </c>
      <c r="N107" t="s">
        <v>84</v>
      </c>
      <c r="O107" t="s">
        <v>17</v>
      </c>
      <c r="P107" t="s">
        <v>310</v>
      </c>
      <c r="Q107" t="s">
        <v>24</v>
      </c>
      <c r="R107" t="s">
        <v>17</v>
      </c>
      <c r="S107" t="s">
        <v>312</v>
      </c>
    </row>
    <row r="108" spans="1:21" x14ac:dyDescent="0.25">
      <c r="A108" s="1">
        <v>45918</v>
      </c>
      <c r="B108" t="s">
        <v>10</v>
      </c>
      <c r="C108" t="s">
        <v>52</v>
      </c>
      <c r="D108" t="s">
        <v>173</v>
      </c>
      <c r="E108" s="7">
        <f>-16*4</f>
        <v>-64</v>
      </c>
      <c r="F108" t="s">
        <v>23</v>
      </c>
      <c r="G108">
        <v>64</v>
      </c>
      <c r="H108">
        <f>16*40</f>
        <v>640</v>
      </c>
      <c r="I108" s="2">
        <f t="shared" ref="I108" si="20">H108/G108</f>
        <v>10</v>
      </c>
      <c r="J108" s="2">
        <f t="shared" si="15"/>
        <v>-1</v>
      </c>
      <c r="K108" s="9">
        <v>0.38750000000000001</v>
      </c>
      <c r="L108">
        <v>1</v>
      </c>
      <c r="M108" t="s">
        <v>79</v>
      </c>
      <c r="N108" t="s">
        <v>59</v>
      </c>
      <c r="O108" t="s">
        <v>114</v>
      </c>
      <c r="P108" t="s">
        <v>113</v>
      </c>
      <c r="Q108" t="s">
        <v>114</v>
      </c>
      <c r="R108" t="s">
        <v>111</v>
      </c>
      <c r="S108" t="s">
        <v>313</v>
      </c>
    </row>
    <row r="109" spans="1:21" x14ac:dyDescent="0.25">
      <c r="A109" s="1">
        <v>45922</v>
      </c>
      <c r="B109" t="s">
        <v>7</v>
      </c>
      <c r="C109" t="s">
        <v>53</v>
      </c>
      <c r="D109" t="s">
        <v>173</v>
      </c>
      <c r="E109" s="7">
        <v>-100</v>
      </c>
      <c r="F109" t="s">
        <v>22</v>
      </c>
      <c r="G109">
        <v>100</v>
      </c>
      <c r="H109">
        <v>1050</v>
      </c>
      <c r="I109" s="2">
        <f t="shared" ref="I109:I110" si="21">H109/G109</f>
        <v>10.5</v>
      </c>
      <c r="J109" s="2">
        <f t="shared" ref="J109:J110" si="22">E109/G109</f>
        <v>-1</v>
      </c>
      <c r="K109" t="s">
        <v>204</v>
      </c>
      <c r="L109">
        <v>2</v>
      </c>
      <c r="M109" t="s">
        <v>314</v>
      </c>
      <c r="N109" t="s">
        <v>315</v>
      </c>
      <c r="O109" t="s">
        <v>17</v>
      </c>
      <c r="P109" t="s">
        <v>17</v>
      </c>
      <c r="Q109" t="s">
        <v>24</v>
      </c>
      <c r="R109" t="s">
        <v>17</v>
      </c>
      <c r="S109" t="s">
        <v>316</v>
      </c>
    </row>
    <row r="110" spans="1:21" x14ac:dyDescent="0.25">
      <c r="A110" s="1">
        <v>45932</v>
      </c>
      <c r="B110" t="s">
        <v>10</v>
      </c>
      <c r="C110" t="s">
        <v>52</v>
      </c>
      <c r="D110" t="s">
        <v>57</v>
      </c>
      <c r="E110" s="10">
        <v>-5.4</v>
      </c>
      <c r="F110" t="s">
        <v>23</v>
      </c>
      <c r="G110">
        <f>9.5*20</f>
        <v>190</v>
      </c>
      <c r="H110">
        <f>32.25*20</f>
        <v>645</v>
      </c>
      <c r="I110" s="2">
        <f t="shared" si="21"/>
        <v>3.3947368421052633</v>
      </c>
      <c r="J110" s="2">
        <f t="shared" si="22"/>
        <v>-2.8421052631578948E-2</v>
      </c>
      <c r="K110" t="s">
        <v>317</v>
      </c>
      <c r="L110">
        <v>4</v>
      </c>
      <c r="M110" t="s">
        <v>30</v>
      </c>
      <c r="N110" t="s">
        <v>318</v>
      </c>
      <c r="O110" t="s">
        <v>24</v>
      </c>
      <c r="P110" t="s">
        <v>17</v>
      </c>
      <c r="Q110" t="s">
        <v>24</v>
      </c>
      <c r="R110" t="s">
        <v>17</v>
      </c>
      <c r="S110" t="s">
        <v>319</v>
      </c>
    </row>
    <row r="111" spans="1:21" x14ac:dyDescent="0.25">
      <c r="A111" s="1">
        <v>45936</v>
      </c>
      <c r="B111" t="s">
        <v>7</v>
      </c>
      <c r="C111" t="s">
        <v>52</v>
      </c>
      <c r="D111" t="s">
        <v>320</v>
      </c>
      <c r="E111" s="10">
        <f>-16*4.5</f>
        <v>-72</v>
      </c>
      <c r="F111" t="s">
        <v>23</v>
      </c>
      <c r="G111">
        <f>16*7.75</f>
        <v>124</v>
      </c>
      <c r="H111">
        <f>16*54</f>
        <v>864</v>
      </c>
      <c r="I111" s="2">
        <f t="shared" ref="I111" si="23">H111/G111</f>
        <v>6.967741935483871</v>
      </c>
      <c r="J111" s="2">
        <f t="shared" ref="J111" si="24">E111/G111</f>
        <v>-0.58064516129032262</v>
      </c>
      <c r="K111" t="s">
        <v>321</v>
      </c>
      <c r="L111">
        <v>2</v>
      </c>
      <c r="M111" t="s">
        <v>30</v>
      </c>
      <c r="N111" t="s">
        <v>322</v>
      </c>
      <c r="O111" t="s">
        <v>17</v>
      </c>
      <c r="P111" t="s">
        <v>24</v>
      </c>
      <c r="Q111" t="s">
        <v>24</v>
      </c>
      <c r="R111" t="s">
        <v>17</v>
      </c>
      <c r="S111" t="s">
        <v>323</v>
      </c>
    </row>
    <row r="112" spans="1:21" x14ac:dyDescent="0.25">
      <c r="A112" s="1">
        <v>45937</v>
      </c>
      <c r="B112" t="s">
        <v>8</v>
      </c>
      <c r="C112" t="s">
        <v>52</v>
      </c>
      <c r="D112" t="s">
        <v>173</v>
      </c>
      <c r="E112">
        <v>-65</v>
      </c>
      <c r="F112" t="s">
        <v>22</v>
      </c>
      <c r="G112">
        <v>65</v>
      </c>
      <c r="H112">
        <v>600</v>
      </c>
      <c r="I112" s="2">
        <f t="shared" ref="I112:I116" si="25">H112/G112</f>
        <v>9.2307692307692299</v>
      </c>
      <c r="J112" s="2">
        <f t="shared" ref="J112:J116" si="26">E112/G112</f>
        <v>-1</v>
      </c>
      <c r="K112" t="s">
        <v>324</v>
      </c>
      <c r="L112">
        <v>2</v>
      </c>
      <c r="M112" t="s">
        <v>325</v>
      </c>
      <c r="N112" t="s">
        <v>326</v>
      </c>
      <c r="O112" t="s">
        <v>24</v>
      </c>
      <c r="P112" t="s">
        <v>24</v>
      </c>
      <c r="Q112" t="s">
        <v>24</v>
      </c>
      <c r="R112" t="s">
        <v>24</v>
      </c>
      <c r="S112" t="s">
        <v>327</v>
      </c>
    </row>
    <row r="113" spans="1:19" x14ac:dyDescent="0.25">
      <c r="A113" s="1">
        <v>45938</v>
      </c>
      <c r="B113" t="s">
        <v>9</v>
      </c>
      <c r="C113" t="s">
        <v>52</v>
      </c>
      <c r="D113" t="s">
        <v>320</v>
      </c>
      <c r="E113">
        <v>-160</v>
      </c>
      <c r="F113" t="s">
        <v>22</v>
      </c>
      <c r="G113">
        <v>160</v>
      </c>
      <c r="H113">
        <v>1200</v>
      </c>
      <c r="I113" s="2">
        <f t="shared" si="25"/>
        <v>7.5</v>
      </c>
      <c r="J113" s="2">
        <f t="shared" si="26"/>
        <v>-1</v>
      </c>
      <c r="K113" s="9">
        <v>0.3576388888888889</v>
      </c>
      <c r="L113">
        <v>1</v>
      </c>
      <c r="M113" t="s">
        <v>30</v>
      </c>
      <c r="N113" t="s">
        <v>328</v>
      </c>
      <c r="O113" t="s">
        <v>17</v>
      </c>
      <c r="P113" t="s">
        <v>17</v>
      </c>
      <c r="Q113" t="s">
        <v>24</v>
      </c>
      <c r="R113" t="s">
        <v>17</v>
      </c>
      <c r="S113" t="s">
        <v>329</v>
      </c>
    </row>
    <row r="114" spans="1:19" x14ac:dyDescent="0.25">
      <c r="A114" s="1">
        <v>45939</v>
      </c>
      <c r="B114" t="s">
        <v>10</v>
      </c>
      <c r="C114" t="s">
        <v>52</v>
      </c>
      <c r="D114" t="s">
        <v>320</v>
      </c>
      <c r="E114">
        <v>-96</v>
      </c>
      <c r="F114" t="s">
        <v>22</v>
      </c>
      <c r="G114">
        <v>96</v>
      </c>
      <c r="H114">
        <f>16*37</f>
        <v>592</v>
      </c>
      <c r="I114" s="2">
        <f t="shared" si="25"/>
        <v>6.166666666666667</v>
      </c>
      <c r="J114" s="2">
        <f t="shared" si="26"/>
        <v>-1</v>
      </c>
      <c r="K114" s="9">
        <v>0.36180555555555555</v>
      </c>
      <c r="L114">
        <v>1</v>
      </c>
      <c r="M114" t="s">
        <v>30</v>
      </c>
      <c r="N114" t="s">
        <v>84</v>
      </c>
      <c r="O114" t="s">
        <v>24</v>
      </c>
      <c r="P114" t="s">
        <v>24</v>
      </c>
      <c r="Q114" t="s">
        <v>24</v>
      </c>
      <c r="R114" t="s">
        <v>17</v>
      </c>
    </row>
    <row r="115" spans="1:19" x14ac:dyDescent="0.25">
      <c r="A115" s="1">
        <v>45939</v>
      </c>
      <c r="B115" t="s">
        <v>10</v>
      </c>
      <c r="C115" t="s">
        <v>52</v>
      </c>
      <c r="D115" t="s">
        <v>320</v>
      </c>
      <c r="E115">
        <v>-148</v>
      </c>
      <c r="F115" t="s">
        <v>23</v>
      </c>
      <c r="G115">
        <v>148</v>
      </c>
      <c r="H115">
        <f>16*60</f>
        <v>960</v>
      </c>
      <c r="I115" s="2">
        <f t="shared" si="25"/>
        <v>6.4864864864864868</v>
      </c>
      <c r="J115" s="2">
        <f t="shared" si="26"/>
        <v>-1</v>
      </c>
      <c r="K115" s="9">
        <v>0.36875000000000002</v>
      </c>
      <c r="L115">
        <v>1</v>
      </c>
      <c r="M115" t="s">
        <v>330</v>
      </c>
      <c r="N115" t="s">
        <v>331</v>
      </c>
      <c r="O115" t="s">
        <v>17</v>
      </c>
      <c r="P115" t="s">
        <v>17</v>
      </c>
      <c r="Q115" t="s">
        <v>24</v>
      </c>
      <c r="R115" t="s">
        <v>17</v>
      </c>
      <c r="S115" t="s">
        <v>332</v>
      </c>
    </row>
    <row r="116" spans="1:19" x14ac:dyDescent="0.25">
      <c r="A116" s="1">
        <v>45943</v>
      </c>
      <c r="B116" t="s">
        <v>7</v>
      </c>
      <c r="C116" t="s">
        <v>52</v>
      </c>
      <c r="D116" t="s">
        <v>320</v>
      </c>
      <c r="E116">
        <v>-70</v>
      </c>
      <c r="F116" t="s">
        <v>23</v>
      </c>
      <c r="G116">
        <v>80</v>
      </c>
      <c r="H116">
        <f>1000</f>
        <v>1000</v>
      </c>
      <c r="I116" s="2">
        <f t="shared" si="25"/>
        <v>12.5</v>
      </c>
      <c r="J116" s="2">
        <f t="shared" si="26"/>
        <v>-0.875</v>
      </c>
      <c r="K116" t="s">
        <v>333</v>
      </c>
      <c r="L116">
        <v>2</v>
      </c>
      <c r="M116" t="s">
        <v>334</v>
      </c>
      <c r="N116" t="s">
        <v>294</v>
      </c>
      <c r="O116" t="s">
        <v>24</v>
      </c>
      <c r="P116" t="s">
        <v>17</v>
      </c>
      <c r="Q116" t="s">
        <v>24</v>
      </c>
      <c r="R116" t="s">
        <v>24</v>
      </c>
      <c r="S116" t="s">
        <v>335</v>
      </c>
    </row>
    <row r="117" spans="1:19" x14ac:dyDescent="0.25">
      <c r="A117" s="1">
        <v>45945</v>
      </c>
      <c r="B117" t="s">
        <v>9</v>
      </c>
      <c r="C117" t="s">
        <v>52</v>
      </c>
      <c r="D117" t="s">
        <v>173</v>
      </c>
      <c r="E117">
        <f>-20*11.25</f>
        <v>-225</v>
      </c>
      <c r="F117" t="s">
        <v>22</v>
      </c>
      <c r="G117">
        <f>25*20</f>
        <v>500</v>
      </c>
      <c r="H117">
        <f>52*20</f>
        <v>1040</v>
      </c>
      <c r="I117" s="2">
        <f t="shared" ref="I117" si="27">H117/G117</f>
        <v>2.08</v>
      </c>
      <c r="J117" s="2">
        <f t="shared" ref="J117" si="28">E117/G117</f>
        <v>-0.45</v>
      </c>
      <c r="K117" t="s">
        <v>336</v>
      </c>
      <c r="L117">
        <v>9</v>
      </c>
      <c r="M117" t="s">
        <v>337</v>
      </c>
      <c r="N117" t="s">
        <v>338</v>
      </c>
      <c r="O117" t="s">
        <v>24</v>
      </c>
      <c r="P117" t="s">
        <v>17</v>
      </c>
      <c r="Q117" t="s">
        <v>17</v>
      </c>
      <c r="R117" t="s">
        <v>114</v>
      </c>
      <c r="S117" t="s">
        <v>339</v>
      </c>
    </row>
    <row r="118" spans="1:19" x14ac:dyDescent="0.25">
      <c r="A118" s="1">
        <v>45946</v>
      </c>
      <c r="B118" t="s">
        <v>10</v>
      </c>
      <c r="C118" t="s">
        <v>52</v>
      </c>
      <c r="D118" t="s">
        <v>57</v>
      </c>
      <c r="E118">
        <v>-37.5</v>
      </c>
      <c r="F118" t="s">
        <v>22</v>
      </c>
      <c r="G118">
        <v>270</v>
      </c>
      <c r="H118">
        <v>1</v>
      </c>
      <c r="I118" s="2">
        <f t="shared" ref="I118" si="29">H118/G118</f>
        <v>3.7037037037037038E-3</v>
      </c>
      <c r="J118" s="2">
        <f t="shared" ref="J118" si="30">E118/G118</f>
        <v>-0.1388888888888889</v>
      </c>
      <c r="N118" t="s">
        <v>340</v>
      </c>
      <c r="O118" t="s">
        <v>66</v>
      </c>
      <c r="P118" t="s">
        <v>24</v>
      </c>
      <c r="Q118" t="s">
        <v>24</v>
      </c>
      <c r="R118" t="s">
        <v>17</v>
      </c>
      <c r="S118" t="s">
        <v>341</v>
      </c>
    </row>
    <row r="119" spans="1:19" x14ac:dyDescent="0.25">
      <c r="A119" s="1">
        <v>45950</v>
      </c>
      <c r="B119" t="s">
        <v>7</v>
      </c>
      <c r="C119" t="s">
        <v>52</v>
      </c>
      <c r="D119" t="s">
        <v>57</v>
      </c>
      <c r="E119">
        <f>-5.5</f>
        <v>-5.5</v>
      </c>
      <c r="F119" t="s">
        <v>23</v>
      </c>
      <c r="G119">
        <v>5.5</v>
      </c>
      <c r="H119">
        <f>22*64</f>
        <v>1408</v>
      </c>
      <c r="I119" s="2">
        <f t="shared" ref="I119:I120" si="31">H119/G119</f>
        <v>256</v>
      </c>
      <c r="J119" s="2">
        <f t="shared" ref="J119:J120" si="32">E119/G119</f>
        <v>-1</v>
      </c>
      <c r="K119" t="s">
        <v>342</v>
      </c>
      <c r="L119">
        <v>5</v>
      </c>
      <c r="M119" t="s">
        <v>31</v>
      </c>
      <c r="N119" t="s">
        <v>345</v>
      </c>
      <c r="O119" t="s">
        <v>346</v>
      </c>
      <c r="P119" t="s">
        <v>24</v>
      </c>
      <c r="Q119" t="s">
        <v>24</v>
      </c>
      <c r="R119" t="s">
        <v>17</v>
      </c>
    </row>
    <row r="120" spans="1:19" x14ac:dyDescent="0.25">
      <c r="A120" s="1">
        <v>45950</v>
      </c>
      <c r="B120" t="s">
        <v>7</v>
      </c>
      <c r="C120" t="s">
        <v>52</v>
      </c>
      <c r="D120" t="s">
        <v>320</v>
      </c>
      <c r="E120">
        <f>-22*11.5</f>
        <v>-253</v>
      </c>
      <c r="F120" t="s">
        <v>22</v>
      </c>
      <c r="G120">
        <v>253</v>
      </c>
      <c r="H120">
        <f>22*44</f>
        <v>968</v>
      </c>
      <c r="I120" s="2">
        <f t="shared" si="31"/>
        <v>3.8260869565217392</v>
      </c>
      <c r="J120" s="2">
        <f t="shared" si="32"/>
        <v>-1</v>
      </c>
      <c r="K120" t="s">
        <v>343</v>
      </c>
      <c r="L120">
        <v>2</v>
      </c>
      <c r="M120" t="s">
        <v>30</v>
      </c>
      <c r="N120" t="s">
        <v>344</v>
      </c>
      <c r="O120" t="s">
        <v>114</v>
      </c>
      <c r="P120" t="s">
        <v>17</v>
      </c>
      <c r="Q120" t="s">
        <v>17</v>
      </c>
      <c r="R120" t="s">
        <v>24</v>
      </c>
      <c r="S120" t="s">
        <v>347</v>
      </c>
    </row>
    <row r="121" spans="1:19" x14ac:dyDescent="0.25">
      <c r="A121" s="1">
        <v>45951</v>
      </c>
      <c r="B121" t="s">
        <v>8</v>
      </c>
      <c r="C121" t="s">
        <v>52</v>
      </c>
      <c r="D121" t="s">
        <v>57</v>
      </c>
      <c r="E121">
        <v>10</v>
      </c>
      <c r="F121" t="s">
        <v>23</v>
      </c>
      <c r="G121">
        <f>120</f>
        <v>120</v>
      </c>
      <c r="H121">
        <v>1400</v>
      </c>
      <c r="I121" s="2">
        <f t="shared" ref="I121:I124" si="33">H121/G121</f>
        <v>11.666666666666666</v>
      </c>
      <c r="J121" s="2">
        <f t="shared" ref="J121:J124" si="34">E121/G121</f>
        <v>8.3333333333333329E-2</v>
      </c>
      <c r="K121" t="s">
        <v>348</v>
      </c>
      <c r="L121">
        <v>16</v>
      </c>
      <c r="M121" t="s">
        <v>31</v>
      </c>
      <c r="N121" t="s">
        <v>350</v>
      </c>
      <c r="O121" t="s">
        <v>66</v>
      </c>
      <c r="P121" t="s">
        <v>17</v>
      </c>
      <c r="Q121" t="s">
        <v>24</v>
      </c>
      <c r="R121" t="s">
        <v>17</v>
      </c>
      <c r="S121" t="s">
        <v>353</v>
      </c>
    </row>
    <row r="122" spans="1:19" x14ac:dyDescent="0.25">
      <c r="A122" s="1">
        <v>45951</v>
      </c>
      <c r="B122" t="s">
        <v>8</v>
      </c>
      <c r="C122" t="s">
        <v>53</v>
      </c>
      <c r="D122" t="s">
        <v>173</v>
      </c>
      <c r="E122">
        <v>-150</v>
      </c>
      <c r="F122" t="s">
        <v>22</v>
      </c>
      <c r="G122">
        <v>150</v>
      </c>
      <c r="H122">
        <v>800</v>
      </c>
      <c r="I122" s="2">
        <f t="shared" si="33"/>
        <v>5.333333333333333</v>
      </c>
      <c r="J122" s="2">
        <f t="shared" si="34"/>
        <v>-1</v>
      </c>
      <c r="K122" t="s">
        <v>349</v>
      </c>
      <c r="L122">
        <v>30</v>
      </c>
      <c r="M122" t="s">
        <v>31</v>
      </c>
      <c r="N122" t="s">
        <v>351</v>
      </c>
      <c r="O122" t="s">
        <v>24</v>
      </c>
      <c r="P122" t="s">
        <v>17</v>
      </c>
      <c r="Q122" t="s">
        <v>24</v>
      </c>
      <c r="R122" t="s">
        <v>17</v>
      </c>
      <c r="S122" t="s">
        <v>352</v>
      </c>
    </row>
    <row r="123" spans="1:19" x14ac:dyDescent="0.25">
      <c r="A123" s="1">
        <v>45952</v>
      </c>
      <c r="B123" t="s">
        <v>10</v>
      </c>
      <c r="C123" t="s">
        <v>52</v>
      </c>
      <c r="D123" t="s">
        <v>320</v>
      </c>
      <c r="E123">
        <v>-200</v>
      </c>
      <c r="F123" t="s">
        <v>22</v>
      </c>
      <c r="G123">
        <v>200</v>
      </c>
      <c r="H123">
        <f>20*103</f>
        <v>2060</v>
      </c>
      <c r="I123" s="2">
        <f t="shared" si="33"/>
        <v>10.3</v>
      </c>
      <c r="J123" s="2">
        <f t="shared" si="34"/>
        <v>-1</v>
      </c>
      <c r="K123" s="9">
        <v>0.35486111111111113</v>
      </c>
      <c r="L123">
        <v>1</v>
      </c>
      <c r="M123" t="s">
        <v>30</v>
      </c>
      <c r="N123" t="s">
        <v>356</v>
      </c>
      <c r="O123" t="s">
        <v>17</v>
      </c>
      <c r="P123" t="s">
        <v>24</v>
      </c>
      <c r="Q123" t="s">
        <v>24</v>
      </c>
      <c r="R123" t="s">
        <v>17</v>
      </c>
    </row>
    <row r="124" spans="1:19" x14ac:dyDescent="0.25">
      <c r="A124" s="1">
        <v>45952</v>
      </c>
      <c r="B124" t="s">
        <v>10</v>
      </c>
      <c r="C124" t="s">
        <v>52</v>
      </c>
      <c r="D124" t="s">
        <v>173</v>
      </c>
      <c r="E124">
        <f>-14*13</f>
        <v>-182</v>
      </c>
      <c r="F124" t="s">
        <v>23</v>
      </c>
      <c r="G124">
        <v>182</v>
      </c>
      <c r="H124">
        <f>14*58</f>
        <v>812</v>
      </c>
      <c r="I124" s="2">
        <f t="shared" si="33"/>
        <v>4.4615384615384617</v>
      </c>
      <c r="J124" s="2">
        <f t="shared" si="34"/>
        <v>-1</v>
      </c>
      <c r="K124" t="s">
        <v>354</v>
      </c>
      <c r="L124">
        <v>3</v>
      </c>
      <c r="M124" t="s">
        <v>30</v>
      </c>
      <c r="N124" t="s">
        <v>355</v>
      </c>
      <c r="O124" t="s">
        <v>17</v>
      </c>
      <c r="P124" t="s">
        <v>24</v>
      </c>
      <c r="Q124" t="s">
        <v>24</v>
      </c>
      <c r="R124" t="s">
        <v>17</v>
      </c>
      <c r="S124" t="s">
        <v>357</v>
      </c>
    </row>
    <row r="125" spans="1:19" x14ac:dyDescent="0.25">
      <c r="A125" s="1">
        <v>45958</v>
      </c>
      <c r="B125" t="s">
        <v>8</v>
      </c>
      <c r="C125" t="s">
        <v>52</v>
      </c>
      <c r="D125" t="s">
        <v>173</v>
      </c>
      <c r="E125">
        <v>-45</v>
      </c>
      <c r="F125" t="s">
        <v>23</v>
      </c>
      <c r="G125">
        <v>160</v>
      </c>
      <c r="H125">
        <f>34*20</f>
        <v>680</v>
      </c>
      <c r="I125" s="2">
        <f t="shared" ref="I125:I126" si="35">H125/G125</f>
        <v>4.25</v>
      </c>
      <c r="J125" s="2">
        <f t="shared" ref="J125:J126" si="36">E125/G125</f>
        <v>-0.28125</v>
      </c>
      <c r="K125" t="s">
        <v>360</v>
      </c>
      <c r="L125">
        <v>6</v>
      </c>
      <c r="M125" t="s">
        <v>30</v>
      </c>
      <c r="N125" t="s">
        <v>215</v>
      </c>
      <c r="O125" t="s">
        <v>24</v>
      </c>
      <c r="P125" t="s">
        <v>24</v>
      </c>
      <c r="Q125" t="s">
        <v>24</v>
      </c>
      <c r="R125" t="s">
        <v>17</v>
      </c>
      <c r="S125" t="s">
        <v>361</v>
      </c>
    </row>
    <row r="126" spans="1:19" x14ac:dyDescent="0.25">
      <c r="A126" s="1">
        <v>45960</v>
      </c>
      <c r="B126" t="s">
        <v>10</v>
      </c>
      <c r="C126" t="s">
        <v>52</v>
      </c>
      <c r="D126" t="s">
        <v>173</v>
      </c>
      <c r="E126">
        <v>-145</v>
      </c>
      <c r="F126" t="s">
        <v>23</v>
      </c>
      <c r="G126">
        <v>145</v>
      </c>
      <c r="H126">
        <f>20*109</f>
        <v>2180</v>
      </c>
      <c r="I126" s="2">
        <f t="shared" si="35"/>
        <v>15.03448275862069</v>
      </c>
      <c r="J126" s="2">
        <f t="shared" si="36"/>
        <v>-1</v>
      </c>
      <c r="K126" t="s">
        <v>358</v>
      </c>
      <c r="L126">
        <v>4</v>
      </c>
      <c r="M126" t="s">
        <v>30</v>
      </c>
      <c r="N126" t="s">
        <v>359</v>
      </c>
      <c r="O126" t="s">
        <v>24</v>
      </c>
      <c r="P126" t="s">
        <v>24</v>
      </c>
      <c r="Q126" t="s">
        <v>24</v>
      </c>
      <c r="R126" t="s">
        <v>17</v>
      </c>
      <c r="S126" t="s">
        <v>362</v>
      </c>
    </row>
    <row r="127" spans="1:19" x14ac:dyDescent="0.25">
      <c r="A127" s="1">
        <v>45961</v>
      </c>
      <c r="B127" t="s">
        <v>11</v>
      </c>
      <c r="C127" t="s">
        <v>53</v>
      </c>
      <c r="D127" t="s">
        <v>173</v>
      </c>
      <c r="E127">
        <f>-10*15</f>
        <v>-150</v>
      </c>
      <c r="F127" t="s">
        <v>22</v>
      </c>
      <c r="G127">
        <v>150</v>
      </c>
      <c r="H127">
        <v>750</v>
      </c>
      <c r="I127" s="2">
        <f t="shared" ref="I127" si="37">H127/G127</f>
        <v>5</v>
      </c>
      <c r="J127" s="2">
        <f t="shared" ref="J127" si="38">E127/G127</f>
        <v>-1</v>
      </c>
      <c r="K127" t="s">
        <v>363</v>
      </c>
      <c r="L127">
        <v>11</v>
      </c>
      <c r="M127" t="s">
        <v>364</v>
      </c>
      <c r="N127" t="s">
        <v>365</v>
      </c>
      <c r="O127" t="s">
        <v>17</v>
      </c>
      <c r="P127" t="s">
        <v>17</v>
      </c>
      <c r="Q127" t="s">
        <v>24</v>
      </c>
      <c r="R127" t="s">
        <v>24</v>
      </c>
      <c r="S127" t="s">
        <v>366</v>
      </c>
    </row>
    <row r="128" spans="1:19" x14ac:dyDescent="0.25">
      <c r="A128" s="1">
        <v>45964</v>
      </c>
      <c r="B128" t="s">
        <v>7</v>
      </c>
      <c r="C128" t="s">
        <v>52</v>
      </c>
      <c r="D128" t="s">
        <v>57</v>
      </c>
      <c r="E128">
        <v>5</v>
      </c>
      <c r="F128" t="s">
        <v>22</v>
      </c>
      <c r="G128">
        <f>6.25*20</f>
        <v>125</v>
      </c>
      <c r="H128">
        <f>62*20</f>
        <v>1240</v>
      </c>
      <c r="I128" s="2">
        <f t="shared" ref="I128" si="39">H128/G128</f>
        <v>9.92</v>
      </c>
      <c r="J128" s="2">
        <f t="shared" ref="J128" si="40">E128/G128</f>
        <v>0.04</v>
      </c>
      <c r="K128" t="s">
        <v>367</v>
      </c>
      <c r="L128">
        <v>4</v>
      </c>
      <c r="M128" t="s">
        <v>30</v>
      </c>
      <c r="N128" t="s">
        <v>368</v>
      </c>
      <c r="O128" t="s">
        <v>17</v>
      </c>
      <c r="P128" t="s">
        <v>24</v>
      </c>
      <c r="Q128" t="s">
        <v>24</v>
      </c>
      <c r="R128" t="s">
        <v>17</v>
      </c>
      <c r="S128" t="s">
        <v>369</v>
      </c>
    </row>
    <row r="129" spans="1:19" x14ac:dyDescent="0.25">
      <c r="A129" s="1">
        <v>45964</v>
      </c>
      <c r="B129" t="s">
        <v>7</v>
      </c>
      <c r="C129" t="s">
        <v>52</v>
      </c>
      <c r="D129" t="s">
        <v>320</v>
      </c>
      <c r="E129">
        <f>-7.75*20</f>
        <v>-155</v>
      </c>
      <c r="F129" t="s">
        <v>22</v>
      </c>
      <c r="G129">
        <v>155</v>
      </c>
      <c r="H129">
        <v>1000</v>
      </c>
      <c r="I129" s="2">
        <f t="shared" ref="I129" si="41">H129/G129</f>
        <v>6.4516129032258061</v>
      </c>
      <c r="J129" s="2">
        <f t="shared" ref="J129" si="42">E129/G129</f>
        <v>-1</v>
      </c>
      <c r="K129" t="s">
        <v>370</v>
      </c>
      <c r="L129">
        <v>3</v>
      </c>
      <c r="M129" t="s">
        <v>30</v>
      </c>
      <c r="N129" t="s">
        <v>84</v>
      </c>
      <c r="O129" t="s">
        <v>17</v>
      </c>
      <c r="P129" t="s">
        <v>17</v>
      </c>
      <c r="Q129" t="s">
        <v>24</v>
      </c>
      <c r="R129" t="s">
        <v>17</v>
      </c>
      <c r="S129" t="s">
        <v>371</v>
      </c>
    </row>
    <row r="130" spans="1:19" x14ac:dyDescent="0.25">
      <c r="A130" s="1">
        <v>45965</v>
      </c>
      <c r="B130" t="s">
        <v>8</v>
      </c>
      <c r="C130" t="s">
        <v>52</v>
      </c>
      <c r="D130" t="s">
        <v>320</v>
      </c>
      <c r="E130">
        <f>2.25*20</f>
        <v>45</v>
      </c>
      <c r="F130" t="s">
        <v>22</v>
      </c>
      <c r="G130">
        <f>18*20</f>
        <v>360</v>
      </c>
      <c r="H130">
        <f>1600</f>
        <v>1600</v>
      </c>
      <c r="I130" s="2">
        <f t="shared" ref="I130:I131" si="43">H130/G130</f>
        <v>4.4444444444444446</v>
      </c>
      <c r="J130" s="2">
        <f t="shared" ref="J130:J131" si="44">E130/G130</f>
        <v>0.125</v>
      </c>
      <c r="K130" t="s">
        <v>372</v>
      </c>
      <c r="L130">
        <v>3</v>
      </c>
      <c r="M130" t="s">
        <v>30</v>
      </c>
      <c r="N130" t="s">
        <v>275</v>
      </c>
      <c r="O130" t="s">
        <v>24</v>
      </c>
      <c r="P130" t="s">
        <v>17</v>
      </c>
      <c r="Q130" t="s">
        <v>24</v>
      </c>
      <c r="R130" t="s">
        <v>17</v>
      </c>
      <c r="S130" t="s">
        <v>373</v>
      </c>
    </row>
    <row r="131" spans="1:19" x14ac:dyDescent="0.25">
      <c r="A131" s="1">
        <v>45965</v>
      </c>
      <c r="B131" t="s">
        <v>8</v>
      </c>
      <c r="C131" t="s">
        <v>52</v>
      </c>
      <c r="D131" t="s">
        <v>320</v>
      </c>
      <c r="E131">
        <v>35</v>
      </c>
      <c r="F131" t="s">
        <v>22</v>
      </c>
      <c r="G131">
        <f>40*9</f>
        <v>360</v>
      </c>
      <c r="H131">
        <f>40*65</f>
        <v>2600</v>
      </c>
      <c r="I131" s="2">
        <f t="shared" si="43"/>
        <v>7.2222222222222223</v>
      </c>
      <c r="J131" s="2">
        <f t="shared" si="44"/>
        <v>9.7222222222222224E-2</v>
      </c>
      <c r="K131" t="s">
        <v>374</v>
      </c>
      <c r="L131">
        <v>26</v>
      </c>
      <c r="M131" t="s">
        <v>30</v>
      </c>
      <c r="N131" t="s">
        <v>59</v>
      </c>
      <c r="O131" t="s">
        <v>17</v>
      </c>
      <c r="P131" t="s">
        <v>24</v>
      </c>
      <c r="Q131" t="s">
        <v>24</v>
      </c>
      <c r="R131" t="s">
        <v>17</v>
      </c>
      <c r="S131" t="s">
        <v>375</v>
      </c>
    </row>
    <row r="132" spans="1:19" x14ac:dyDescent="0.25">
      <c r="A132" s="1">
        <v>45966</v>
      </c>
      <c r="B132" t="s">
        <v>9</v>
      </c>
      <c r="C132" t="s">
        <v>52</v>
      </c>
      <c r="D132" t="s">
        <v>173</v>
      </c>
      <c r="E132">
        <f>-20*17</f>
        <v>-340</v>
      </c>
      <c r="F132" t="s">
        <v>23</v>
      </c>
      <c r="G132">
        <v>340</v>
      </c>
      <c r="H132">
        <f>20*112.5</f>
        <v>2250</v>
      </c>
      <c r="I132" s="2">
        <f t="shared" ref="I132:I133" si="45">H132/G132</f>
        <v>6.617647058823529</v>
      </c>
      <c r="J132" s="2">
        <f t="shared" ref="J132:J133" si="46">E132/G132</f>
        <v>-1</v>
      </c>
      <c r="K132" t="s">
        <v>98</v>
      </c>
      <c r="L132">
        <v>3</v>
      </c>
      <c r="M132" t="s">
        <v>30</v>
      </c>
      <c r="N132" t="s">
        <v>378</v>
      </c>
      <c r="O132" t="s">
        <v>24</v>
      </c>
      <c r="P132" t="s">
        <v>24</v>
      </c>
      <c r="Q132" t="s">
        <v>24</v>
      </c>
      <c r="R132" t="s">
        <v>17</v>
      </c>
      <c r="S132" t="s">
        <v>381</v>
      </c>
    </row>
    <row r="133" spans="1:19" x14ac:dyDescent="0.25">
      <c r="A133" s="1">
        <v>45966</v>
      </c>
      <c r="B133" t="s">
        <v>9</v>
      </c>
      <c r="C133" t="s">
        <v>52</v>
      </c>
      <c r="D133" t="s">
        <v>376</v>
      </c>
      <c r="E133">
        <f>20*(674.75-528)</f>
        <v>2935</v>
      </c>
      <c r="F133" t="s">
        <v>22</v>
      </c>
      <c r="G133">
        <f>300</f>
        <v>300</v>
      </c>
      <c r="H133">
        <v>2935</v>
      </c>
      <c r="I133" s="2">
        <f t="shared" si="45"/>
        <v>9.7833333333333332</v>
      </c>
      <c r="J133" s="2">
        <f t="shared" si="46"/>
        <v>9.7833333333333332</v>
      </c>
      <c r="K133" t="s">
        <v>377</v>
      </c>
      <c r="L133">
        <v>16</v>
      </c>
      <c r="M133" t="s">
        <v>30</v>
      </c>
      <c r="N133" t="s">
        <v>379</v>
      </c>
      <c r="O133" t="s">
        <v>24</v>
      </c>
      <c r="P133" t="s">
        <v>24</v>
      </c>
      <c r="Q133" t="s">
        <v>24</v>
      </c>
      <c r="R133" t="s">
        <v>17</v>
      </c>
      <c r="S133" t="s">
        <v>380</v>
      </c>
    </row>
    <row r="134" spans="1:19" x14ac:dyDescent="0.25">
      <c r="A134" s="1">
        <v>45967</v>
      </c>
      <c r="B134" t="s">
        <v>10</v>
      </c>
      <c r="C134" t="s">
        <v>52</v>
      </c>
      <c r="D134" t="s">
        <v>320</v>
      </c>
      <c r="E134">
        <f>20*(649.25-584.5)</f>
        <v>1295</v>
      </c>
      <c r="F134" t="s">
        <v>23</v>
      </c>
      <c r="G134">
        <v>300</v>
      </c>
      <c r="H134">
        <v>1295</v>
      </c>
      <c r="I134" s="2">
        <f t="shared" ref="I134:I135" si="47">H134/G134</f>
        <v>4.3166666666666664</v>
      </c>
      <c r="J134" s="2">
        <f t="shared" ref="J134:J135" si="48">E134/G134</f>
        <v>4.3166666666666664</v>
      </c>
      <c r="K134" t="s">
        <v>382</v>
      </c>
      <c r="L134">
        <v>4</v>
      </c>
      <c r="M134" t="s">
        <v>30</v>
      </c>
      <c r="N134" t="s">
        <v>383</v>
      </c>
      <c r="O134" t="s">
        <v>17</v>
      </c>
      <c r="P134" t="s">
        <v>24</v>
      </c>
      <c r="Q134" t="s">
        <v>24</v>
      </c>
      <c r="R134" t="s">
        <v>17</v>
      </c>
    </row>
    <row r="135" spans="1:19" x14ac:dyDescent="0.25">
      <c r="A135" s="1">
        <v>45967</v>
      </c>
      <c r="B135" t="s">
        <v>10</v>
      </c>
      <c r="C135" t="s">
        <v>52</v>
      </c>
      <c r="D135" t="s">
        <v>320</v>
      </c>
      <c r="E135">
        <f>-20*7.25</f>
        <v>-145</v>
      </c>
      <c r="F135" t="s">
        <v>22</v>
      </c>
      <c r="G135">
        <v>145</v>
      </c>
      <c r="H135">
        <f>71.25*20</f>
        <v>1425</v>
      </c>
      <c r="I135" s="2">
        <f t="shared" si="47"/>
        <v>9.8275862068965516</v>
      </c>
      <c r="J135" s="2">
        <f t="shared" si="48"/>
        <v>-1</v>
      </c>
      <c r="K135" t="s">
        <v>384</v>
      </c>
      <c r="L135">
        <v>2</v>
      </c>
      <c r="M135" t="s">
        <v>30</v>
      </c>
      <c r="N135" t="s">
        <v>25</v>
      </c>
      <c r="O135" t="s">
        <v>17</v>
      </c>
      <c r="P135" t="s">
        <v>17</v>
      </c>
      <c r="Q135" t="s">
        <v>24</v>
      </c>
      <c r="R135" t="s">
        <v>385</v>
      </c>
    </row>
    <row r="136" spans="1:19" x14ac:dyDescent="0.25">
      <c r="A136" s="1">
        <v>45968</v>
      </c>
      <c r="B136" t="s">
        <v>11</v>
      </c>
      <c r="C136" t="s">
        <v>52</v>
      </c>
      <c r="D136" t="s">
        <v>320</v>
      </c>
      <c r="E136">
        <f>20*9.5</f>
        <v>190</v>
      </c>
      <c r="F136" t="s">
        <v>22</v>
      </c>
      <c r="G136">
        <f>13*20</f>
        <v>260</v>
      </c>
      <c r="H136">
        <v>16000</v>
      </c>
      <c r="I136" s="2">
        <f t="shared" ref="I136:I138" si="49">H136/G136</f>
        <v>61.53846153846154</v>
      </c>
      <c r="J136" s="2">
        <f t="shared" ref="J136:J138" si="50">E136/G136</f>
        <v>0.73076923076923073</v>
      </c>
      <c r="K136" t="s">
        <v>386</v>
      </c>
      <c r="L136">
        <v>2</v>
      </c>
      <c r="M136" t="s">
        <v>30</v>
      </c>
      <c r="N136" t="s">
        <v>390</v>
      </c>
      <c r="O136" t="s">
        <v>17</v>
      </c>
      <c r="P136" t="s">
        <v>24</v>
      </c>
      <c r="Q136" t="s">
        <v>24</v>
      </c>
      <c r="R136" t="s">
        <v>17</v>
      </c>
    </row>
    <row r="137" spans="1:19" x14ac:dyDescent="0.25">
      <c r="A137" s="1">
        <v>45968</v>
      </c>
      <c r="B137" t="s">
        <v>11</v>
      </c>
      <c r="C137" t="s">
        <v>52</v>
      </c>
      <c r="D137" t="s">
        <v>320</v>
      </c>
      <c r="E137">
        <f>-20*0.75</f>
        <v>-15</v>
      </c>
      <c r="F137" t="s">
        <v>22</v>
      </c>
      <c r="G137">
        <f>13.5*20</f>
        <v>270</v>
      </c>
      <c r="H137">
        <f>76.25*20</f>
        <v>1525</v>
      </c>
      <c r="I137" s="2">
        <f t="shared" si="49"/>
        <v>5.6481481481481479</v>
      </c>
      <c r="J137" s="2">
        <f t="shared" si="50"/>
        <v>-5.5555555555555552E-2</v>
      </c>
      <c r="K137" t="s">
        <v>387</v>
      </c>
      <c r="L137">
        <v>2</v>
      </c>
      <c r="M137" t="s">
        <v>31</v>
      </c>
      <c r="N137" t="s">
        <v>252</v>
      </c>
      <c r="O137" t="s">
        <v>24</v>
      </c>
      <c r="P137" t="s">
        <v>17</v>
      </c>
      <c r="Q137" t="s">
        <v>24</v>
      </c>
      <c r="R137" t="s">
        <v>24</v>
      </c>
      <c r="S137" t="s">
        <v>391</v>
      </c>
    </row>
    <row r="138" spans="1:19" x14ac:dyDescent="0.25">
      <c r="A138" s="1">
        <v>45968</v>
      </c>
      <c r="B138" t="s">
        <v>11</v>
      </c>
      <c r="C138" t="s">
        <v>52</v>
      </c>
      <c r="D138" t="s">
        <v>320</v>
      </c>
      <c r="E138">
        <f>20*1.5</f>
        <v>30</v>
      </c>
      <c r="F138" t="s">
        <v>22</v>
      </c>
      <c r="G138">
        <f>9*20</f>
        <v>180</v>
      </c>
      <c r="H138">
        <f>1600</f>
        <v>1600</v>
      </c>
      <c r="I138" s="2">
        <f t="shared" si="49"/>
        <v>8.8888888888888893</v>
      </c>
      <c r="J138" s="2">
        <f t="shared" si="50"/>
        <v>0.16666666666666666</v>
      </c>
      <c r="K138" t="s">
        <v>388</v>
      </c>
      <c r="L138">
        <v>4</v>
      </c>
      <c r="M138" t="s">
        <v>30</v>
      </c>
      <c r="N138" t="s">
        <v>389</v>
      </c>
      <c r="O138" t="s">
        <v>24</v>
      </c>
      <c r="P138" t="s">
        <v>24</v>
      </c>
      <c r="Q138" t="s">
        <v>24</v>
      </c>
      <c r="R138" t="s">
        <v>17</v>
      </c>
    </row>
    <row r="139" spans="1:19" x14ac:dyDescent="0.25">
      <c r="A139" s="1">
        <v>45971</v>
      </c>
      <c r="B139" t="s">
        <v>7</v>
      </c>
      <c r="C139" t="s">
        <v>52</v>
      </c>
      <c r="D139" t="s">
        <v>320</v>
      </c>
      <c r="E139">
        <f>20*12</f>
        <v>240</v>
      </c>
      <c r="F139" t="s">
        <v>23</v>
      </c>
      <c r="G139">
        <f>6.5*20</f>
        <v>130</v>
      </c>
      <c r="H139">
        <v>800</v>
      </c>
      <c r="I139" s="2">
        <f t="shared" ref="I139:I141" si="51">H139/G139</f>
        <v>6.1538461538461542</v>
      </c>
      <c r="J139" s="2">
        <f t="shared" ref="J139:J141" si="52">E139/G139</f>
        <v>1.8461538461538463</v>
      </c>
      <c r="K139" s="9">
        <v>0.36666666666666664</v>
      </c>
      <c r="L139">
        <v>1</v>
      </c>
      <c r="M139" t="s">
        <v>30</v>
      </c>
      <c r="N139" t="s">
        <v>396</v>
      </c>
      <c r="O139" t="s">
        <v>17</v>
      </c>
      <c r="P139" t="s">
        <v>24</v>
      </c>
      <c r="Q139" t="s">
        <v>24</v>
      </c>
      <c r="R139" t="s">
        <v>17</v>
      </c>
    </row>
    <row r="140" spans="1:19" x14ac:dyDescent="0.25">
      <c r="A140" s="1">
        <v>45971</v>
      </c>
      <c r="B140" t="s">
        <v>7</v>
      </c>
      <c r="C140" t="s">
        <v>52</v>
      </c>
      <c r="D140" t="s">
        <v>57</v>
      </c>
      <c r="E140">
        <f>20*0.5</f>
        <v>10</v>
      </c>
      <c r="F140" t="s">
        <v>22</v>
      </c>
      <c r="G140">
        <f>7.75*20</f>
        <v>155</v>
      </c>
      <c r="H140">
        <f>20*75.75</f>
        <v>1515</v>
      </c>
      <c r="I140" s="2">
        <f t="shared" si="51"/>
        <v>9.7741935483870961</v>
      </c>
      <c r="J140" s="2">
        <f t="shared" si="52"/>
        <v>6.4516129032258063E-2</v>
      </c>
      <c r="K140" t="s">
        <v>392</v>
      </c>
      <c r="L140">
        <v>3</v>
      </c>
      <c r="M140" t="s">
        <v>30</v>
      </c>
      <c r="N140" t="s">
        <v>395</v>
      </c>
      <c r="O140" t="s">
        <v>282</v>
      </c>
      <c r="P140" t="s">
        <v>24</v>
      </c>
      <c r="Q140" t="s">
        <v>24</v>
      </c>
      <c r="R140" t="s">
        <v>17</v>
      </c>
      <c r="S140" t="s">
        <v>397</v>
      </c>
    </row>
    <row r="141" spans="1:19" x14ac:dyDescent="0.25">
      <c r="A141" s="1">
        <v>45971</v>
      </c>
      <c r="B141" t="s">
        <v>7</v>
      </c>
      <c r="C141" t="s">
        <v>52</v>
      </c>
      <c r="D141" t="s">
        <v>57</v>
      </c>
      <c r="E141">
        <f>20*0.5</f>
        <v>10</v>
      </c>
      <c r="F141" t="s">
        <v>23</v>
      </c>
      <c r="G141">
        <f>5.25*20</f>
        <v>105</v>
      </c>
      <c r="H141">
        <v>1000</v>
      </c>
      <c r="I141" s="2">
        <f t="shared" si="51"/>
        <v>9.5238095238095237</v>
      </c>
      <c r="J141" s="2">
        <f t="shared" si="52"/>
        <v>9.5238095238095233E-2</v>
      </c>
      <c r="K141" t="s">
        <v>393</v>
      </c>
      <c r="L141">
        <v>2</v>
      </c>
      <c r="M141" t="s">
        <v>30</v>
      </c>
      <c r="N141" t="s">
        <v>394</v>
      </c>
      <c r="O141" t="s">
        <v>282</v>
      </c>
      <c r="P141" t="s">
        <v>24</v>
      </c>
      <c r="Q141" t="s">
        <v>24</v>
      </c>
      <c r="R141" t="s">
        <v>17</v>
      </c>
    </row>
    <row r="142" spans="1:19" x14ac:dyDescent="0.25">
      <c r="A142" s="1">
        <v>45972</v>
      </c>
      <c r="B142" t="s">
        <v>8</v>
      </c>
      <c r="C142" t="s">
        <v>91</v>
      </c>
      <c r="D142" t="s">
        <v>376</v>
      </c>
      <c r="E142">
        <v>-25</v>
      </c>
      <c r="F142" t="s">
        <v>22</v>
      </c>
      <c r="G142">
        <f>50*3.25</f>
        <v>162.5</v>
      </c>
      <c r="H142">
        <f>16.25*50</f>
        <v>812.5</v>
      </c>
      <c r="I142" s="2">
        <f t="shared" ref="I142" si="53">H142/G142</f>
        <v>5</v>
      </c>
      <c r="J142" s="2">
        <f t="shared" ref="J142" si="54">E142/G142</f>
        <v>-0.15384615384615385</v>
      </c>
      <c r="K142" t="s">
        <v>398</v>
      </c>
      <c r="L142">
        <v>2</v>
      </c>
      <c r="M142" t="s">
        <v>31</v>
      </c>
      <c r="N142" t="s">
        <v>399</v>
      </c>
      <c r="O142" t="s">
        <v>24</v>
      </c>
      <c r="P142" t="s">
        <v>17</v>
      </c>
      <c r="Q142" t="s">
        <v>24</v>
      </c>
      <c r="R142" t="s">
        <v>400</v>
      </c>
      <c r="S142" t="s">
        <v>401</v>
      </c>
    </row>
    <row r="143" spans="1:19" x14ac:dyDescent="0.25">
      <c r="A143" s="1">
        <v>45973</v>
      </c>
      <c r="B143" t="s">
        <v>9</v>
      </c>
      <c r="C143" t="s">
        <v>52</v>
      </c>
      <c r="D143" t="s">
        <v>57</v>
      </c>
      <c r="E143">
        <f>-5</f>
        <v>-5</v>
      </c>
      <c r="F143" t="s">
        <v>22</v>
      </c>
      <c r="G143">
        <f>14*11.25</f>
        <v>157.5</v>
      </c>
      <c r="H143">
        <f>14*60</f>
        <v>840</v>
      </c>
      <c r="I143" s="2">
        <f t="shared" ref="I143:I145" si="55">H143/G143</f>
        <v>5.333333333333333</v>
      </c>
      <c r="J143" s="2">
        <f t="shared" ref="J143:J145" si="56">E143/G143</f>
        <v>-3.1746031746031744E-2</v>
      </c>
      <c r="K143" t="s">
        <v>402</v>
      </c>
      <c r="L143">
        <v>5</v>
      </c>
      <c r="M143" t="s">
        <v>30</v>
      </c>
      <c r="N143" t="s">
        <v>406</v>
      </c>
      <c r="O143" t="s">
        <v>24</v>
      </c>
      <c r="P143" t="s">
        <v>24</v>
      </c>
      <c r="Q143" t="s">
        <v>24</v>
      </c>
      <c r="R143" t="s">
        <v>17</v>
      </c>
    </row>
    <row r="144" spans="1:19" x14ac:dyDescent="0.25">
      <c r="A144" s="1">
        <v>45973</v>
      </c>
      <c r="B144" t="s">
        <v>9</v>
      </c>
      <c r="C144" t="s">
        <v>53</v>
      </c>
      <c r="D144" t="s">
        <v>57</v>
      </c>
      <c r="E144">
        <v>30</v>
      </c>
      <c r="F144" t="s">
        <v>23</v>
      </c>
      <c r="G144">
        <v>470</v>
      </c>
      <c r="H144">
        <v>1000</v>
      </c>
      <c r="I144" s="2">
        <f t="shared" si="55"/>
        <v>2.1276595744680851</v>
      </c>
      <c r="J144" s="2">
        <f t="shared" si="56"/>
        <v>6.3829787234042548E-2</v>
      </c>
      <c r="K144" t="s">
        <v>403</v>
      </c>
      <c r="L144">
        <v>7</v>
      </c>
      <c r="M144" t="s">
        <v>31</v>
      </c>
      <c r="N144" t="s">
        <v>405</v>
      </c>
      <c r="O144" t="s">
        <v>17</v>
      </c>
      <c r="P144" t="s">
        <v>17</v>
      </c>
      <c r="Q144" t="s">
        <v>17</v>
      </c>
      <c r="R144" t="s">
        <v>407</v>
      </c>
    </row>
    <row r="145" spans="1:19" x14ac:dyDescent="0.25">
      <c r="A145" s="1">
        <v>45973</v>
      </c>
      <c r="B145" t="s">
        <v>9</v>
      </c>
      <c r="C145" t="s">
        <v>52</v>
      </c>
      <c r="D145" t="s">
        <v>57</v>
      </c>
      <c r="E145">
        <f>14*2.32</f>
        <v>32.479999999999997</v>
      </c>
      <c r="F145" t="s">
        <v>22</v>
      </c>
      <c r="G145">
        <f>14*9.25</f>
        <v>129.5</v>
      </c>
      <c r="H145">
        <v>840</v>
      </c>
      <c r="I145" s="2">
        <f t="shared" si="55"/>
        <v>6.4864864864864868</v>
      </c>
      <c r="J145" s="2">
        <f t="shared" si="56"/>
        <v>0.2508108108108108</v>
      </c>
      <c r="K145" t="s">
        <v>404</v>
      </c>
      <c r="L145">
        <v>2</v>
      </c>
      <c r="M145" t="s">
        <v>30</v>
      </c>
      <c r="N145" t="s">
        <v>59</v>
      </c>
      <c r="O145" t="s">
        <v>24</v>
      </c>
      <c r="P145" t="s">
        <v>24</v>
      </c>
      <c r="Q145" t="s">
        <v>24</v>
      </c>
      <c r="R145" t="s">
        <v>17</v>
      </c>
      <c r="S145" t="s">
        <v>408</v>
      </c>
    </row>
    <row r="146" spans="1:19" x14ac:dyDescent="0.25">
      <c r="A146" s="1">
        <v>45974</v>
      </c>
      <c r="B146" t="s">
        <v>10</v>
      </c>
      <c r="C146" t="s">
        <v>52</v>
      </c>
      <c r="D146" t="s">
        <v>57</v>
      </c>
      <c r="E146">
        <f>14*1.25</f>
        <v>17.5</v>
      </c>
      <c r="F146" t="s">
        <v>23</v>
      </c>
      <c r="G146">
        <f>14*15</f>
        <v>210</v>
      </c>
      <c r="H146">
        <f>14*73.25</f>
        <v>1025.5</v>
      </c>
      <c r="I146" s="2">
        <f t="shared" ref="I146:I150" si="57">H146/G146</f>
        <v>4.8833333333333337</v>
      </c>
      <c r="J146" s="2">
        <f t="shared" ref="J146:J150" si="58">E146/G146</f>
        <v>8.3333333333333329E-2</v>
      </c>
      <c r="K146" t="s">
        <v>410</v>
      </c>
      <c r="L146">
        <v>3</v>
      </c>
      <c r="M146" t="s">
        <v>30</v>
      </c>
      <c r="N146" t="s">
        <v>413</v>
      </c>
      <c r="O146" t="s">
        <v>24</v>
      </c>
      <c r="P146" t="s">
        <v>24</v>
      </c>
      <c r="Q146" t="s">
        <v>114</v>
      </c>
      <c r="R146" t="s">
        <v>17</v>
      </c>
    </row>
    <row r="147" spans="1:19" x14ac:dyDescent="0.25">
      <c r="A147" s="1">
        <v>45974</v>
      </c>
      <c r="B147" t="s">
        <v>10</v>
      </c>
      <c r="C147" t="s">
        <v>52</v>
      </c>
      <c r="D147" t="s">
        <v>254</v>
      </c>
      <c r="E147">
        <f>14*32.75</f>
        <v>458.5</v>
      </c>
      <c r="F147" t="s">
        <v>22</v>
      </c>
      <c r="G147">
        <f>14*6.75</f>
        <v>94.5</v>
      </c>
      <c r="H147">
        <f>14*67.5</f>
        <v>945</v>
      </c>
      <c r="I147" s="2">
        <f>H147/G147</f>
        <v>10</v>
      </c>
      <c r="J147" s="2">
        <f t="shared" si="58"/>
        <v>4.8518518518518521</v>
      </c>
      <c r="K147" t="s">
        <v>411</v>
      </c>
      <c r="L147">
        <v>8</v>
      </c>
      <c r="M147" t="s">
        <v>30</v>
      </c>
      <c r="N147" t="s">
        <v>275</v>
      </c>
      <c r="O147" t="s">
        <v>17</v>
      </c>
      <c r="P147" t="s">
        <v>24</v>
      </c>
      <c r="Q147" t="s">
        <v>114</v>
      </c>
      <c r="R147" t="s">
        <v>17</v>
      </c>
    </row>
    <row r="148" spans="1:19" x14ac:dyDescent="0.25">
      <c r="A148" s="1">
        <v>45974</v>
      </c>
      <c r="B148" t="s">
        <v>10</v>
      </c>
      <c r="C148" t="s">
        <v>52</v>
      </c>
      <c r="D148" t="s">
        <v>173</v>
      </c>
      <c r="E148">
        <f>-13.25*14</f>
        <v>-185.5</v>
      </c>
      <c r="F148" t="s">
        <v>22</v>
      </c>
      <c r="G148">
        <f>14*12.5</f>
        <v>175</v>
      </c>
      <c r="H148">
        <f>14*60</f>
        <v>840</v>
      </c>
      <c r="I148" s="2">
        <f>H148/G148</f>
        <v>4.8</v>
      </c>
      <c r="J148" s="2">
        <f t="shared" si="58"/>
        <v>-1.06</v>
      </c>
      <c r="K148" t="s">
        <v>412</v>
      </c>
      <c r="L148">
        <v>2</v>
      </c>
      <c r="M148" t="s">
        <v>30</v>
      </c>
      <c r="N148" t="s">
        <v>414</v>
      </c>
      <c r="O148" t="s">
        <v>24</v>
      </c>
      <c r="P148" t="s">
        <v>110</v>
      </c>
      <c r="Q148" t="s">
        <v>114</v>
      </c>
      <c r="R148" t="s">
        <v>24</v>
      </c>
    </row>
    <row r="149" spans="1:19" x14ac:dyDescent="0.25">
      <c r="A149" s="1">
        <v>45974</v>
      </c>
      <c r="B149" t="s">
        <v>10</v>
      </c>
      <c r="C149" t="s">
        <v>52</v>
      </c>
      <c r="D149" t="s">
        <v>57</v>
      </c>
      <c r="E149">
        <f>-14*2</f>
        <v>-28</v>
      </c>
      <c r="F149" t="s">
        <v>22</v>
      </c>
      <c r="G149">
        <f>6.75*14</f>
        <v>94.5</v>
      </c>
      <c r="H149">
        <f>14*44.25</f>
        <v>619.5</v>
      </c>
      <c r="I149" s="2">
        <f t="shared" si="57"/>
        <v>6.5555555555555554</v>
      </c>
      <c r="J149" s="2">
        <f t="shared" si="58"/>
        <v>-0.29629629629629628</v>
      </c>
      <c r="K149" s="9">
        <v>0.39583333333333331</v>
      </c>
      <c r="L149">
        <v>1</v>
      </c>
      <c r="M149" t="s">
        <v>30</v>
      </c>
      <c r="N149" t="s">
        <v>415</v>
      </c>
      <c r="O149" t="s">
        <v>24</v>
      </c>
      <c r="P149" t="s">
        <v>24</v>
      </c>
      <c r="Q149" t="s">
        <v>114</v>
      </c>
      <c r="R149" t="s">
        <v>24</v>
      </c>
    </row>
    <row r="150" spans="1:19" x14ac:dyDescent="0.25">
      <c r="A150" s="1">
        <v>45974</v>
      </c>
      <c r="B150" t="s">
        <v>10</v>
      </c>
      <c r="C150" t="s">
        <v>52</v>
      </c>
      <c r="D150" t="s">
        <v>57</v>
      </c>
      <c r="E150">
        <f>-10</f>
        <v>-10</v>
      </c>
      <c r="F150" t="s">
        <v>22</v>
      </c>
      <c r="G150">
        <f>20*9.75</f>
        <v>195</v>
      </c>
      <c r="H150">
        <f>55.5*20</f>
        <v>1110</v>
      </c>
      <c r="I150" s="2">
        <f t="shared" si="57"/>
        <v>5.6923076923076925</v>
      </c>
      <c r="J150" s="2">
        <f t="shared" si="58"/>
        <v>-5.128205128205128E-2</v>
      </c>
      <c r="K150" s="9">
        <v>0.58333333333333337</v>
      </c>
      <c r="L150">
        <v>1</v>
      </c>
      <c r="M150" t="s">
        <v>30</v>
      </c>
      <c r="N150" t="s">
        <v>409</v>
      </c>
      <c r="O150" t="s">
        <v>24</v>
      </c>
      <c r="P150" t="s">
        <v>17</v>
      </c>
      <c r="Q150" t="s">
        <v>24</v>
      </c>
      <c r="R150" t="s">
        <v>17</v>
      </c>
    </row>
    <row r="151" spans="1:19" x14ac:dyDescent="0.25">
      <c r="A151" s="1">
        <v>45975</v>
      </c>
      <c r="B151" t="s">
        <v>11</v>
      </c>
      <c r="C151" t="s">
        <v>52</v>
      </c>
      <c r="D151" t="s">
        <v>148</v>
      </c>
      <c r="E151">
        <f>20*56.25</f>
        <v>1125</v>
      </c>
      <c r="F151" t="s">
        <v>22</v>
      </c>
      <c r="G151">
        <f>44.25*20</f>
        <v>885</v>
      </c>
      <c r="H151">
        <v>1125</v>
      </c>
      <c r="I151" s="2">
        <f t="shared" ref="I151" si="59">H151/G151</f>
        <v>1.271186440677966</v>
      </c>
      <c r="J151" s="2">
        <f t="shared" ref="J151" si="60">E151/G151</f>
        <v>1.271186440677966</v>
      </c>
      <c r="K151" t="s">
        <v>416</v>
      </c>
      <c r="L151">
        <v>10</v>
      </c>
      <c r="M151" t="s">
        <v>31</v>
      </c>
      <c r="N151" t="s">
        <v>417</v>
      </c>
      <c r="O151" t="s">
        <v>17</v>
      </c>
      <c r="P151" t="s">
        <v>17</v>
      </c>
      <c r="Q151" t="s">
        <v>17</v>
      </c>
      <c r="R151" t="s">
        <v>17</v>
      </c>
      <c r="S151" t="s">
        <v>418</v>
      </c>
    </row>
    <row r="152" spans="1:19" x14ac:dyDescent="0.25">
      <c r="A152" s="1">
        <v>45978</v>
      </c>
      <c r="B152" t="s">
        <v>7</v>
      </c>
      <c r="C152" t="s">
        <v>52</v>
      </c>
      <c r="D152" t="s">
        <v>173</v>
      </c>
      <c r="E152">
        <f>-14*18.5</f>
        <v>-259</v>
      </c>
      <c r="F152" t="s">
        <v>23</v>
      </c>
      <c r="G152">
        <v>259</v>
      </c>
      <c r="H152">
        <f>14*40</f>
        <v>560</v>
      </c>
      <c r="I152" s="2">
        <f t="shared" ref="I152:I153" si="61">H152/G152</f>
        <v>2.1621621621621623</v>
      </c>
      <c r="J152" s="2">
        <f t="shared" ref="J152:J153" si="62">E152/G152</f>
        <v>-1</v>
      </c>
      <c r="K152" s="9">
        <v>0.35694444444444445</v>
      </c>
      <c r="L152">
        <v>1</v>
      </c>
      <c r="M152" t="s">
        <v>30</v>
      </c>
      <c r="N152" t="s">
        <v>419</v>
      </c>
      <c r="O152" t="s">
        <v>263</v>
      </c>
      <c r="P152" t="s">
        <v>17</v>
      </c>
      <c r="Q152" t="s">
        <v>17</v>
      </c>
      <c r="R152" t="s">
        <v>263</v>
      </c>
    </row>
    <row r="153" spans="1:19" x14ac:dyDescent="0.25">
      <c r="A153" s="1">
        <v>45978</v>
      </c>
      <c r="B153" t="s">
        <v>7</v>
      </c>
      <c r="C153" t="s">
        <v>52</v>
      </c>
      <c r="D153" t="s">
        <v>173</v>
      </c>
      <c r="E153">
        <f>-14*27.5</f>
        <v>-385</v>
      </c>
      <c r="F153" t="s">
        <v>22</v>
      </c>
      <c r="G153">
        <v>385</v>
      </c>
      <c r="H153">
        <f>14*75</f>
        <v>1050</v>
      </c>
      <c r="I153" s="2">
        <f t="shared" si="61"/>
        <v>2.7272727272727271</v>
      </c>
      <c r="J153" s="2">
        <f t="shared" si="62"/>
        <v>-1</v>
      </c>
      <c r="K153" s="9">
        <v>0.36388888888888887</v>
      </c>
      <c r="L153">
        <v>1</v>
      </c>
      <c r="M153" t="s">
        <v>30</v>
      </c>
      <c r="N153" t="s">
        <v>420</v>
      </c>
      <c r="O153" t="s">
        <v>17</v>
      </c>
      <c r="P153" t="s">
        <v>17</v>
      </c>
      <c r="Q153" t="s">
        <v>17</v>
      </c>
      <c r="R153" t="s">
        <v>17</v>
      </c>
    </row>
    <row r="154" spans="1:19" x14ac:dyDescent="0.25">
      <c r="A154" s="1">
        <v>45981</v>
      </c>
      <c r="B154" t="s">
        <v>10</v>
      </c>
      <c r="C154" t="s">
        <v>52</v>
      </c>
      <c r="D154" t="s">
        <v>173</v>
      </c>
      <c r="E154">
        <f>-14*20.5</f>
        <v>-287</v>
      </c>
      <c r="F154" t="s">
        <v>22</v>
      </c>
      <c r="G154">
        <v>287</v>
      </c>
      <c r="H154">
        <v>1000</v>
      </c>
      <c r="I154" s="2">
        <f t="shared" ref="I154:I157" si="63">H154/G154</f>
        <v>3.484320557491289</v>
      </c>
      <c r="J154" s="2">
        <f t="shared" ref="J154:J158" si="64">E154/G154</f>
        <v>-1</v>
      </c>
      <c r="K154" s="9">
        <v>0.44444444444444442</v>
      </c>
      <c r="L154">
        <v>1</v>
      </c>
      <c r="M154" t="s">
        <v>79</v>
      </c>
      <c r="N154" t="s">
        <v>24</v>
      </c>
      <c r="O154" t="s">
        <v>424</v>
      </c>
      <c r="P154" t="s">
        <v>17</v>
      </c>
      <c r="Q154" t="s">
        <v>17</v>
      </c>
      <c r="R154" t="s">
        <v>424</v>
      </c>
      <c r="S154" t="s">
        <v>423</v>
      </c>
    </row>
    <row r="155" spans="1:19" x14ac:dyDescent="0.25">
      <c r="A155" s="1">
        <v>45981</v>
      </c>
      <c r="B155" t="s">
        <v>10</v>
      </c>
      <c r="C155" t="s">
        <v>52</v>
      </c>
      <c r="D155" t="s">
        <v>57</v>
      </c>
      <c r="E155">
        <f>14*5</f>
        <v>70</v>
      </c>
      <c r="F155" t="s">
        <v>23</v>
      </c>
      <c r="G155">
        <v>200</v>
      </c>
      <c r="H155">
        <v>3000</v>
      </c>
      <c r="I155" s="2">
        <f t="shared" si="63"/>
        <v>15</v>
      </c>
      <c r="J155" s="2">
        <f t="shared" si="64"/>
        <v>0.35</v>
      </c>
      <c r="K155" s="9">
        <v>0.44513888888888886</v>
      </c>
      <c r="L155">
        <v>1</v>
      </c>
      <c r="M155" t="s">
        <v>79</v>
      </c>
      <c r="N155" t="s">
        <v>17</v>
      </c>
      <c r="O155" t="s">
        <v>110</v>
      </c>
      <c r="P155" t="s">
        <v>17</v>
      </c>
      <c r="Q155" t="s">
        <v>24</v>
      </c>
      <c r="R155" t="s">
        <v>111</v>
      </c>
    </row>
    <row r="156" spans="1:19" x14ac:dyDescent="0.25">
      <c r="A156" s="1">
        <v>45981</v>
      </c>
      <c r="B156" t="s">
        <v>10</v>
      </c>
      <c r="C156" t="s">
        <v>52</v>
      </c>
      <c r="D156" t="s">
        <v>173</v>
      </c>
      <c r="E156">
        <f>-8*24</f>
        <v>-192</v>
      </c>
      <c r="F156" t="s">
        <v>22</v>
      </c>
      <c r="G156">
        <v>192</v>
      </c>
      <c r="H156">
        <v>1000</v>
      </c>
      <c r="I156" s="2">
        <f t="shared" si="63"/>
        <v>5.208333333333333</v>
      </c>
      <c r="J156" s="2">
        <f t="shared" si="64"/>
        <v>-1</v>
      </c>
      <c r="K156" t="s">
        <v>425</v>
      </c>
      <c r="L156">
        <v>2</v>
      </c>
      <c r="M156" t="s">
        <v>79</v>
      </c>
      <c r="N156" t="s">
        <v>24</v>
      </c>
      <c r="O156" t="s">
        <v>424</v>
      </c>
      <c r="P156" t="s">
        <v>17</v>
      </c>
      <c r="Q156" t="s">
        <v>17</v>
      </c>
      <c r="R156" t="s">
        <v>424</v>
      </c>
    </row>
    <row r="157" spans="1:19" x14ac:dyDescent="0.25">
      <c r="A157" s="1">
        <v>45982</v>
      </c>
      <c r="B157" t="s">
        <v>11</v>
      </c>
      <c r="C157" t="s">
        <v>52</v>
      </c>
      <c r="D157" t="s">
        <v>57</v>
      </c>
      <c r="E157">
        <v>6</v>
      </c>
      <c r="F157" t="s">
        <v>22</v>
      </c>
      <c r="G157">
        <f>12*12.25</f>
        <v>147</v>
      </c>
      <c r="H157">
        <f>12*95</f>
        <v>1140</v>
      </c>
      <c r="I157" s="2">
        <f t="shared" si="63"/>
        <v>7.7551020408163263</v>
      </c>
      <c r="J157" s="2">
        <f t="shared" si="64"/>
        <v>4.0816326530612242E-2</v>
      </c>
      <c r="K157" t="s">
        <v>422</v>
      </c>
      <c r="L157">
        <v>3</v>
      </c>
      <c r="M157" t="s">
        <v>30</v>
      </c>
      <c r="N157" t="s">
        <v>421</v>
      </c>
      <c r="O157" t="s">
        <v>24</v>
      </c>
      <c r="P157" t="s">
        <v>24</v>
      </c>
      <c r="Q157" t="s">
        <v>24</v>
      </c>
      <c r="R157" t="s">
        <v>17</v>
      </c>
    </row>
    <row r="158" spans="1:19" x14ac:dyDescent="0.25">
      <c r="A158" s="1">
        <v>45982</v>
      </c>
      <c r="B158" t="s">
        <v>11</v>
      </c>
      <c r="C158" t="s">
        <v>52</v>
      </c>
      <c r="D158" t="s">
        <v>57</v>
      </c>
      <c r="E158">
        <v>-12</v>
      </c>
      <c r="F158" t="s">
        <v>23</v>
      </c>
      <c r="G158">
        <f>12*13</f>
        <v>156</v>
      </c>
      <c r="H158">
        <f>90.5*12</f>
        <v>1086</v>
      </c>
      <c r="I158" s="2">
        <f>H158/G158</f>
        <v>6.9615384615384617</v>
      </c>
      <c r="J158" s="2">
        <f t="shared" si="64"/>
        <v>-7.6923076923076927E-2</v>
      </c>
      <c r="K158" t="s">
        <v>426</v>
      </c>
      <c r="L158">
        <v>3</v>
      </c>
      <c r="M158" t="s">
        <v>30</v>
      </c>
      <c r="N158" t="s">
        <v>427</v>
      </c>
      <c r="O158" t="s">
        <v>114</v>
      </c>
      <c r="P158" t="s">
        <v>24</v>
      </c>
      <c r="Q158" t="s">
        <v>24</v>
      </c>
      <c r="R158" t="s">
        <v>17</v>
      </c>
    </row>
    <row r="159" spans="1:19" x14ac:dyDescent="0.25">
      <c r="A159" s="1">
        <v>45985</v>
      </c>
      <c r="B159" t="s">
        <v>7</v>
      </c>
      <c r="C159" t="s">
        <v>52</v>
      </c>
      <c r="D159" t="s">
        <v>320</v>
      </c>
      <c r="E159">
        <f>-12*12.5</f>
        <v>-150</v>
      </c>
      <c r="F159" t="s">
        <v>22</v>
      </c>
      <c r="G159">
        <v>150</v>
      </c>
      <c r="H159">
        <f>14*73</f>
        <v>1022</v>
      </c>
      <c r="I159" s="2">
        <f>H159/G159</f>
        <v>6.8133333333333335</v>
      </c>
      <c r="J159" s="2">
        <f t="shared" ref="J159" si="65">E159/G159</f>
        <v>-1</v>
      </c>
      <c r="K159" t="s">
        <v>428</v>
      </c>
      <c r="L159">
        <v>2</v>
      </c>
      <c r="M159" t="s">
        <v>30</v>
      </c>
      <c r="N159" t="s">
        <v>431</v>
      </c>
      <c r="O159" t="s">
        <v>24</v>
      </c>
      <c r="P159" t="s">
        <v>24</v>
      </c>
      <c r="Q159" t="s">
        <v>24</v>
      </c>
      <c r="R159" t="s">
        <v>24</v>
      </c>
      <c r="S159" t="s">
        <v>432</v>
      </c>
    </row>
    <row r="160" spans="1:19" x14ac:dyDescent="0.25">
      <c r="A160" s="1">
        <v>45985</v>
      </c>
      <c r="B160" t="s">
        <v>7</v>
      </c>
      <c r="C160" t="s">
        <v>52</v>
      </c>
      <c r="D160" t="s">
        <v>320</v>
      </c>
      <c r="E160">
        <f>-14*5.5</f>
        <v>-77</v>
      </c>
      <c r="F160" t="s">
        <v>23</v>
      </c>
      <c r="G160">
        <f>14*13</f>
        <v>182</v>
      </c>
      <c r="H160">
        <f>12*127</f>
        <v>1524</v>
      </c>
      <c r="I160" s="2">
        <f>H160/G160</f>
        <v>8.3736263736263741</v>
      </c>
      <c r="J160" s="2">
        <f t="shared" ref="J160" si="66">E160/G160</f>
        <v>-0.42307692307692307</v>
      </c>
      <c r="K160" t="s">
        <v>429</v>
      </c>
      <c r="L160">
        <v>2</v>
      </c>
      <c r="M160" t="s">
        <v>30</v>
      </c>
      <c r="N160" t="s">
        <v>430</v>
      </c>
      <c r="O160" t="s">
        <v>17</v>
      </c>
      <c r="P160" t="s">
        <v>17</v>
      </c>
      <c r="Q160" t="s">
        <v>24</v>
      </c>
      <c r="R160" t="s">
        <v>24</v>
      </c>
    </row>
    <row r="161" spans="1:19" x14ac:dyDescent="0.25">
      <c r="A161" s="1">
        <v>45986</v>
      </c>
      <c r="B161" t="s">
        <v>8</v>
      </c>
      <c r="C161" t="s">
        <v>52</v>
      </c>
      <c r="D161" t="s">
        <v>320</v>
      </c>
      <c r="E161">
        <f>-14*15.75</f>
        <v>-220.5</v>
      </c>
      <c r="F161" t="s">
        <v>23</v>
      </c>
      <c r="G161">
        <v>220.5</v>
      </c>
      <c r="H161">
        <f>14*85</f>
        <v>1190</v>
      </c>
      <c r="I161" s="2">
        <f t="shared" ref="I161:I162" si="67">H161/G161</f>
        <v>5.3968253968253972</v>
      </c>
      <c r="J161" s="2">
        <f t="shared" ref="J161:J162" si="68">E161/G161</f>
        <v>-1</v>
      </c>
      <c r="K161" t="s">
        <v>27</v>
      </c>
      <c r="L161">
        <v>2</v>
      </c>
      <c r="M161" t="s">
        <v>31</v>
      </c>
      <c r="N161" t="s">
        <v>294</v>
      </c>
      <c r="O161" t="s">
        <v>24</v>
      </c>
      <c r="P161" t="s">
        <v>17</v>
      </c>
      <c r="Q161" t="s">
        <v>17</v>
      </c>
      <c r="R161" t="s">
        <v>24</v>
      </c>
    </row>
    <row r="162" spans="1:19" x14ac:dyDescent="0.25">
      <c r="A162" s="1">
        <v>45986</v>
      </c>
      <c r="B162" t="s">
        <v>8</v>
      </c>
      <c r="C162" t="s">
        <v>52</v>
      </c>
      <c r="D162" t="s">
        <v>320</v>
      </c>
      <c r="E162">
        <f>-12*10.17</f>
        <v>-122.03999999999999</v>
      </c>
      <c r="F162" t="s">
        <v>22</v>
      </c>
      <c r="G162">
        <v>122.04</v>
      </c>
      <c r="H162">
        <f>12*92</f>
        <v>1104</v>
      </c>
      <c r="I162" s="2">
        <f t="shared" si="67"/>
        <v>9.0462143559488695</v>
      </c>
      <c r="J162" s="2">
        <f t="shared" si="68"/>
        <v>-0.99999999999999989</v>
      </c>
      <c r="K162" t="s">
        <v>433</v>
      </c>
      <c r="L162">
        <v>2</v>
      </c>
      <c r="M162" t="s">
        <v>31</v>
      </c>
      <c r="N162" t="s">
        <v>434</v>
      </c>
      <c r="O162" t="s">
        <v>24</v>
      </c>
      <c r="P162" t="s">
        <v>17</v>
      </c>
      <c r="Q162" t="s">
        <v>17</v>
      </c>
      <c r="R162" t="s">
        <v>24</v>
      </c>
      <c r="S162" t="s">
        <v>435</v>
      </c>
    </row>
    <row r="163" spans="1:19" x14ac:dyDescent="0.25">
      <c r="A163" s="1">
        <v>45987</v>
      </c>
      <c r="B163" t="s">
        <v>9</v>
      </c>
      <c r="C163" t="s">
        <v>52</v>
      </c>
      <c r="D163" t="s">
        <v>57</v>
      </c>
      <c r="E163">
        <v>5</v>
      </c>
      <c r="F163" t="s">
        <v>22</v>
      </c>
      <c r="G163">
        <v>52.5</v>
      </c>
      <c r="H163">
        <v>1000</v>
      </c>
      <c r="I163" s="2">
        <f t="shared" ref="I163:I165" si="69">H163/G163</f>
        <v>19.047619047619047</v>
      </c>
      <c r="J163" s="2">
        <f t="shared" ref="J163:J165" si="70">E163/G163</f>
        <v>9.5238095238095233E-2</v>
      </c>
      <c r="K163" t="s">
        <v>436</v>
      </c>
      <c r="L163">
        <v>2</v>
      </c>
      <c r="M163" t="s">
        <v>30</v>
      </c>
      <c r="N163" t="s">
        <v>420</v>
      </c>
      <c r="O163" t="s">
        <v>24</v>
      </c>
      <c r="P163" t="s">
        <v>24</v>
      </c>
      <c r="Q163" t="s">
        <v>24</v>
      </c>
      <c r="R163" t="s">
        <v>17</v>
      </c>
    </row>
    <row r="164" spans="1:19" x14ac:dyDescent="0.25">
      <c r="A164" s="1">
        <v>45987</v>
      </c>
      <c r="B164" t="s">
        <v>9</v>
      </c>
      <c r="C164" t="s">
        <v>52</v>
      </c>
      <c r="D164" t="s">
        <v>57</v>
      </c>
      <c r="E164">
        <v>0</v>
      </c>
      <c r="F164" t="s">
        <v>23</v>
      </c>
      <c r="G164">
        <v>70</v>
      </c>
      <c r="H164">
        <f>14*70</f>
        <v>980</v>
      </c>
      <c r="I164" s="2">
        <f t="shared" si="69"/>
        <v>14</v>
      </c>
      <c r="J164" s="2">
        <f t="shared" si="70"/>
        <v>0</v>
      </c>
      <c r="K164" t="s">
        <v>437</v>
      </c>
      <c r="L164">
        <v>12</v>
      </c>
      <c r="M164" t="s">
        <v>30</v>
      </c>
      <c r="N164" t="s">
        <v>439</v>
      </c>
      <c r="O164" t="s">
        <v>24</v>
      </c>
      <c r="P164" t="s">
        <v>24</v>
      </c>
      <c r="Q164" t="s">
        <v>24</v>
      </c>
      <c r="R164" t="s">
        <v>17</v>
      </c>
    </row>
    <row r="165" spans="1:19" x14ac:dyDescent="0.25">
      <c r="A165" s="1">
        <v>45987</v>
      </c>
      <c r="B165" t="s">
        <v>9</v>
      </c>
      <c r="C165" t="s">
        <v>52</v>
      </c>
      <c r="D165" t="s">
        <v>173</v>
      </c>
      <c r="E165">
        <f>-14*6.75</f>
        <v>-94.5</v>
      </c>
      <c r="F165" t="s">
        <v>22</v>
      </c>
      <c r="G165">
        <v>94</v>
      </c>
      <c r="H165">
        <v>1400</v>
      </c>
      <c r="I165" s="2">
        <f t="shared" si="69"/>
        <v>14.893617021276595</v>
      </c>
      <c r="J165" s="2">
        <f t="shared" si="70"/>
        <v>-1.0053191489361701</v>
      </c>
      <c r="K165" t="s">
        <v>438</v>
      </c>
      <c r="L165">
        <v>2</v>
      </c>
      <c r="M165" t="s">
        <v>31</v>
      </c>
      <c r="N165" t="s">
        <v>440</v>
      </c>
      <c r="O165" t="s">
        <v>24</v>
      </c>
      <c r="P165" t="s">
        <v>17</v>
      </c>
      <c r="Q165" t="s">
        <v>24</v>
      </c>
      <c r="R165" t="s">
        <v>24</v>
      </c>
      <c r="S165" t="s">
        <v>441</v>
      </c>
    </row>
    <row r="166" spans="1:19" x14ac:dyDescent="0.25">
      <c r="A166" s="1">
        <v>45992</v>
      </c>
      <c r="B166" t="s">
        <v>7</v>
      </c>
      <c r="C166" t="s">
        <v>52</v>
      </c>
      <c r="D166" t="s">
        <v>21</v>
      </c>
      <c r="E166">
        <v>-50</v>
      </c>
      <c r="F166" t="s">
        <v>22</v>
      </c>
      <c r="G166">
        <f>10*8.75</f>
        <v>87.5</v>
      </c>
      <c r="H166">
        <v>487.5</v>
      </c>
      <c r="I166" s="2">
        <f t="shared" ref="I166" si="71">H166/G166</f>
        <v>5.5714285714285712</v>
      </c>
      <c r="J166" s="2">
        <f t="shared" ref="J166" si="72">E166/G166</f>
        <v>-0.5714285714285714</v>
      </c>
      <c r="K166" t="s">
        <v>442</v>
      </c>
      <c r="L166">
        <v>2</v>
      </c>
      <c r="M166" t="s">
        <v>30</v>
      </c>
      <c r="N166" t="s">
        <v>84</v>
      </c>
      <c r="O166" t="s">
        <v>282</v>
      </c>
      <c r="P166" t="s">
        <v>24</v>
      </c>
      <c r="Q166" t="s">
        <v>24</v>
      </c>
      <c r="R166" t="s">
        <v>17</v>
      </c>
      <c r="S166" t="s">
        <v>443</v>
      </c>
    </row>
    <row r="167" spans="1:19" x14ac:dyDescent="0.25">
      <c r="A167" s="1">
        <v>45993</v>
      </c>
      <c r="B167" t="s">
        <v>8</v>
      </c>
      <c r="C167" t="s">
        <v>52</v>
      </c>
      <c r="D167" t="s">
        <v>173</v>
      </c>
      <c r="E167">
        <v>-70</v>
      </c>
      <c r="F167" t="s">
        <v>22</v>
      </c>
      <c r="G167">
        <v>70</v>
      </c>
      <c r="H167">
        <v>600</v>
      </c>
      <c r="I167" s="2">
        <f t="shared" ref="I167:I173" si="73">H167/G167</f>
        <v>8.5714285714285712</v>
      </c>
      <c r="J167" s="2">
        <f t="shared" ref="J167:J173" si="74">E167/G167</f>
        <v>-1</v>
      </c>
      <c r="K167" s="9">
        <v>0.36944444444444446</v>
      </c>
      <c r="L167">
        <v>1</v>
      </c>
      <c r="M167" t="s">
        <v>30</v>
      </c>
      <c r="N167" t="s">
        <v>420</v>
      </c>
      <c r="O167" t="s">
        <v>282</v>
      </c>
      <c r="P167" t="s">
        <v>24</v>
      </c>
      <c r="Q167" t="s">
        <v>24</v>
      </c>
      <c r="R167" t="s">
        <v>17</v>
      </c>
      <c r="S167" t="s">
        <v>444</v>
      </c>
    </row>
    <row r="168" spans="1:19" x14ac:dyDescent="0.25">
      <c r="A168" s="1">
        <v>45995</v>
      </c>
      <c r="B168" t="s">
        <v>10</v>
      </c>
      <c r="C168" t="s">
        <v>52</v>
      </c>
      <c r="D168" t="s">
        <v>173</v>
      </c>
      <c r="E168">
        <v>-120</v>
      </c>
      <c r="F168" t="s">
        <v>23</v>
      </c>
      <c r="G168">
        <v>120</v>
      </c>
      <c r="H168">
        <f>12*80</f>
        <v>960</v>
      </c>
      <c r="I168" s="2">
        <f t="shared" si="73"/>
        <v>8</v>
      </c>
      <c r="J168" s="2">
        <f t="shared" si="74"/>
        <v>-1</v>
      </c>
      <c r="K168" t="s">
        <v>445</v>
      </c>
      <c r="L168">
        <v>3</v>
      </c>
      <c r="M168" t="s">
        <v>30</v>
      </c>
      <c r="N168" t="s">
        <v>446</v>
      </c>
      <c r="O168" t="s">
        <v>24</v>
      </c>
      <c r="P168" t="s">
        <v>17</v>
      </c>
      <c r="Q168" t="s">
        <v>24</v>
      </c>
      <c r="R168" t="s">
        <v>24</v>
      </c>
      <c r="S168" t="s">
        <v>447</v>
      </c>
    </row>
    <row r="169" spans="1:19" x14ac:dyDescent="0.25">
      <c r="A169" s="1">
        <v>45999</v>
      </c>
      <c r="B169" t="s">
        <v>7</v>
      </c>
      <c r="C169" t="s">
        <v>52</v>
      </c>
      <c r="D169" t="s">
        <v>173</v>
      </c>
      <c r="E169">
        <v>-108</v>
      </c>
      <c r="F169" t="s">
        <v>22</v>
      </c>
      <c r="G169">
        <v>108</v>
      </c>
      <c r="H169">
        <f>43.5*12</f>
        <v>522</v>
      </c>
      <c r="I169" s="2">
        <f t="shared" si="73"/>
        <v>4.833333333333333</v>
      </c>
      <c r="J169" s="2">
        <f t="shared" si="74"/>
        <v>-1</v>
      </c>
      <c r="K169" t="s">
        <v>38</v>
      </c>
      <c r="L169">
        <v>2</v>
      </c>
      <c r="M169" t="s">
        <v>30</v>
      </c>
      <c r="N169" t="s">
        <v>448</v>
      </c>
      <c r="O169" t="s">
        <v>24</v>
      </c>
      <c r="P169" t="s">
        <v>17</v>
      </c>
      <c r="Q169" t="s">
        <v>24</v>
      </c>
      <c r="R169" t="s">
        <v>17</v>
      </c>
      <c r="S169" t="s">
        <v>449</v>
      </c>
    </row>
    <row r="170" spans="1:19" x14ac:dyDescent="0.25">
      <c r="A170" s="1">
        <v>46001</v>
      </c>
      <c r="B170" t="s">
        <v>9</v>
      </c>
      <c r="C170" t="s">
        <v>52</v>
      </c>
      <c r="D170" t="s">
        <v>173</v>
      </c>
      <c r="E170">
        <f>14*8.75*-1</f>
        <v>-122.5</v>
      </c>
      <c r="F170" t="s">
        <v>22</v>
      </c>
      <c r="G170">
        <v>122.5</v>
      </c>
      <c r="H170">
        <f>48*14</f>
        <v>672</v>
      </c>
      <c r="I170" s="2">
        <f t="shared" si="73"/>
        <v>5.4857142857142858</v>
      </c>
      <c r="J170" s="2">
        <f t="shared" si="74"/>
        <v>-1</v>
      </c>
      <c r="K170" s="9">
        <v>0.36736111111111114</v>
      </c>
      <c r="L170">
        <v>1</v>
      </c>
      <c r="M170" t="s">
        <v>452</v>
      </c>
      <c r="N170" t="s">
        <v>453</v>
      </c>
      <c r="O170" t="s">
        <v>24</v>
      </c>
      <c r="P170" t="s">
        <v>17</v>
      </c>
      <c r="Q170" t="s">
        <v>114</v>
      </c>
      <c r="R170" t="s">
        <v>114</v>
      </c>
    </row>
    <row r="171" spans="1:19" x14ac:dyDescent="0.25">
      <c r="A171" s="1">
        <v>46001</v>
      </c>
      <c r="B171" t="s">
        <v>9</v>
      </c>
      <c r="C171" t="s">
        <v>52</v>
      </c>
      <c r="D171" t="s">
        <v>57</v>
      </c>
      <c r="E171">
        <v>0</v>
      </c>
      <c r="F171" t="s">
        <v>22</v>
      </c>
      <c r="G171">
        <f>7.75*14</f>
        <v>108.5</v>
      </c>
      <c r="H171">
        <f>76*14</f>
        <v>1064</v>
      </c>
      <c r="I171" s="2">
        <f t="shared" si="73"/>
        <v>9.806451612903226</v>
      </c>
      <c r="J171" s="2">
        <f t="shared" si="74"/>
        <v>0</v>
      </c>
      <c r="K171" t="s">
        <v>354</v>
      </c>
      <c r="L171">
        <v>3</v>
      </c>
      <c r="M171" t="s">
        <v>30</v>
      </c>
      <c r="N171" t="s">
        <v>454</v>
      </c>
      <c r="O171" t="s">
        <v>17</v>
      </c>
      <c r="P171" t="s">
        <v>24</v>
      </c>
      <c r="Q171" t="s">
        <v>24</v>
      </c>
      <c r="R171" t="s">
        <v>110</v>
      </c>
    </row>
    <row r="172" spans="1:19" x14ac:dyDescent="0.25">
      <c r="A172" s="1">
        <v>46001</v>
      </c>
      <c r="B172" t="s">
        <v>9</v>
      </c>
      <c r="C172" t="s">
        <v>52</v>
      </c>
      <c r="D172" t="s">
        <v>320</v>
      </c>
      <c r="E172">
        <f>14*4.5</f>
        <v>63</v>
      </c>
      <c r="F172" t="s">
        <v>22</v>
      </c>
      <c r="G172">
        <f>8.5*14</f>
        <v>119</v>
      </c>
      <c r="H172">
        <f>-54*14</f>
        <v>-756</v>
      </c>
      <c r="I172" s="2">
        <f t="shared" si="73"/>
        <v>-6.3529411764705879</v>
      </c>
      <c r="J172" s="2">
        <f t="shared" si="74"/>
        <v>0.52941176470588236</v>
      </c>
      <c r="K172" t="s">
        <v>450</v>
      </c>
      <c r="L172">
        <v>2</v>
      </c>
      <c r="M172" t="s">
        <v>30</v>
      </c>
      <c r="N172" t="s">
        <v>55</v>
      </c>
      <c r="O172" t="s">
        <v>24</v>
      </c>
      <c r="P172" t="s">
        <v>24</v>
      </c>
      <c r="Q172" t="s">
        <v>24</v>
      </c>
      <c r="R172" t="s">
        <v>110</v>
      </c>
      <c r="S172" t="s">
        <v>456</v>
      </c>
    </row>
    <row r="173" spans="1:19" x14ac:dyDescent="0.25">
      <c r="A173" s="1">
        <v>46001</v>
      </c>
      <c r="B173" t="s">
        <v>9</v>
      </c>
      <c r="C173" t="s">
        <v>52</v>
      </c>
      <c r="D173" t="s">
        <v>320</v>
      </c>
      <c r="E173">
        <f>14*4.25</f>
        <v>59.5</v>
      </c>
      <c r="F173" t="s">
        <v>22</v>
      </c>
      <c r="G173">
        <f>14*5.75</f>
        <v>80.5</v>
      </c>
      <c r="H173">
        <f>98*14</f>
        <v>1372</v>
      </c>
      <c r="I173" s="2">
        <f t="shared" si="73"/>
        <v>17.043478260869566</v>
      </c>
      <c r="J173" s="2">
        <f t="shared" si="74"/>
        <v>0.73913043478260865</v>
      </c>
      <c r="K173" t="s">
        <v>451</v>
      </c>
      <c r="L173">
        <v>3</v>
      </c>
      <c r="M173" t="s">
        <v>30</v>
      </c>
      <c r="N173" t="s">
        <v>59</v>
      </c>
      <c r="O173" t="s">
        <v>17</v>
      </c>
      <c r="P173" t="s">
        <v>17</v>
      </c>
      <c r="Q173" t="s">
        <v>17</v>
      </c>
      <c r="R173" t="s">
        <v>110</v>
      </c>
      <c r="S173" t="s">
        <v>455</v>
      </c>
    </row>
    <row r="174" spans="1:19" x14ac:dyDescent="0.25">
      <c r="A174" s="1">
        <v>46002</v>
      </c>
      <c r="B174" t="s">
        <v>10</v>
      </c>
      <c r="C174" t="s">
        <v>52</v>
      </c>
      <c r="D174" t="s">
        <v>320</v>
      </c>
      <c r="E174">
        <f>-14*11.5</f>
        <v>-161</v>
      </c>
      <c r="F174" t="s">
        <v>22</v>
      </c>
      <c r="G174">
        <v>161</v>
      </c>
      <c r="H174">
        <f>14*39.5</f>
        <v>553</v>
      </c>
      <c r="I174" s="2">
        <f t="shared" ref="I174:I177" si="75">H174/G174</f>
        <v>3.4347826086956523</v>
      </c>
      <c r="J174" s="2">
        <f t="shared" ref="J174:J177" si="76">E174/G174</f>
        <v>-1</v>
      </c>
      <c r="K174" t="s">
        <v>458</v>
      </c>
      <c r="L174">
        <v>2</v>
      </c>
      <c r="M174" t="s">
        <v>212</v>
      </c>
      <c r="N174" t="s">
        <v>462</v>
      </c>
      <c r="O174" t="s">
        <v>24</v>
      </c>
      <c r="P174" t="s">
        <v>17</v>
      </c>
      <c r="Q174" t="s">
        <v>17</v>
      </c>
      <c r="R174" t="s">
        <v>24</v>
      </c>
      <c r="S174" t="s">
        <v>466</v>
      </c>
    </row>
    <row r="175" spans="1:19" x14ac:dyDescent="0.25">
      <c r="A175" s="1">
        <v>46002</v>
      </c>
      <c r="B175" t="s">
        <v>10</v>
      </c>
      <c r="C175" t="s">
        <v>52</v>
      </c>
      <c r="D175" s="11" t="s">
        <v>173</v>
      </c>
      <c r="E175">
        <f>-14*0.32</f>
        <v>-4.4800000000000004</v>
      </c>
      <c r="F175" t="s">
        <v>22</v>
      </c>
      <c r="G175">
        <f>14*8</f>
        <v>112</v>
      </c>
      <c r="H175">
        <f>140*14</f>
        <v>1960</v>
      </c>
      <c r="I175" s="2">
        <f t="shared" si="75"/>
        <v>17.5</v>
      </c>
      <c r="J175" s="2">
        <f t="shared" si="76"/>
        <v>-0.04</v>
      </c>
      <c r="K175" t="s">
        <v>459</v>
      </c>
      <c r="L175">
        <v>3</v>
      </c>
      <c r="M175" t="s">
        <v>31</v>
      </c>
      <c r="N175" t="s">
        <v>463</v>
      </c>
      <c r="O175" t="s">
        <v>24</v>
      </c>
      <c r="P175" t="s">
        <v>24</v>
      </c>
      <c r="Q175" t="s">
        <v>24</v>
      </c>
      <c r="R175" t="s">
        <v>24</v>
      </c>
    </row>
    <row r="176" spans="1:19" x14ac:dyDescent="0.25">
      <c r="A176" s="1">
        <v>46002</v>
      </c>
      <c r="B176" t="s">
        <v>10</v>
      </c>
      <c r="C176" t="s">
        <v>52</v>
      </c>
      <c r="D176" s="11" t="s">
        <v>457</v>
      </c>
      <c r="E176">
        <f>-4.75*14</f>
        <v>-66.5</v>
      </c>
      <c r="F176" t="s">
        <v>23</v>
      </c>
      <c r="G176">
        <f>14*14</f>
        <v>196</v>
      </c>
      <c r="H176">
        <f>14*70</f>
        <v>980</v>
      </c>
      <c r="I176" s="2">
        <f t="shared" si="75"/>
        <v>5</v>
      </c>
      <c r="J176" s="2">
        <f t="shared" si="76"/>
        <v>-0.3392857142857143</v>
      </c>
      <c r="K176" s="9">
        <v>0.43472222222222223</v>
      </c>
      <c r="L176">
        <v>1</v>
      </c>
      <c r="M176" t="s">
        <v>461</v>
      </c>
      <c r="N176" t="s">
        <v>464</v>
      </c>
      <c r="O176" t="s">
        <v>17</v>
      </c>
      <c r="P176" t="s">
        <v>17</v>
      </c>
      <c r="Q176" t="s">
        <v>24</v>
      </c>
      <c r="R176" t="s">
        <v>24</v>
      </c>
    </row>
    <row r="177" spans="1:18" x14ac:dyDescent="0.25">
      <c r="A177" s="1">
        <v>46002</v>
      </c>
      <c r="B177" t="s">
        <v>10</v>
      </c>
      <c r="C177" t="s">
        <v>52</v>
      </c>
      <c r="D177" s="11" t="s">
        <v>320</v>
      </c>
      <c r="E177">
        <f>7.5*14</f>
        <v>105</v>
      </c>
      <c r="F177" t="s">
        <v>23</v>
      </c>
      <c r="G177">
        <f>28*15</f>
        <v>420</v>
      </c>
      <c r="H177">
        <f>28*70</f>
        <v>1960</v>
      </c>
      <c r="I177" s="2">
        <f t="shared" si="75"/>
        <v>4.666666666666667</v>
      </c>
      <c r="J177" s="2">
        <f t="shared" si="76"/>
        <v>0.25</v>
      </c>
      <c r="K177" t="s">
        <v>460</v>
      </c>
      <c r="L177">
        <v>5</v>
      </c>
      <c r="M177" t="s">
        <v>461</v>
      </c>
      <c r="N177" t="s">
        <v>465</v>
      </c>
      <c r="O177" t="s">
        <v>17</v>
      </c>
      <c r="P177" t="s">
        <v>24</v>
      </c>
      <c r="Q177" t="s">
        <v>17</v>
      </c>
      <c r="R177"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BurgShot Homie</dc:creator>
  <cp:lastModifiedBy>BurgShot Homie</cp:lastModifiedBy>
  <dcterms:created xsi:type="dcterms:W3CDTF">2025-08-08T23:54:46Z</dcterms:created>
  <dcterms:modified xsi:type="dcterms:W3CDTF">2025-12-11T17:30:19Z</dcterms:modified>
</cp:coreProperties>
</file>