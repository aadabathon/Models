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b5a48c2ccd1c7ddf/Documents/"/>
    </mc:Choice>
  </mc:AlternateContent>
  <xr:revisionPtr revIDLastSave="7812" documentId="8_{4F0C696E-3D33-4EE8-BE69-E82AFE14E207}" xr6:coauthVersionLast="47" xr6:coauthVersionMax="47" xr10:uidLastSave="{CCD6DA6B-7935-4B39-AFD1-585B39A95036}"/>
  <bookViews>
    <workbookView xWindow="-20700" yWindow="3915" windowWidth="17070" windowHeight="11655" xr2:uid="{F24AC0CB-4F16-4FF8-9A34-F0E70D1700E9}"/>
  </bookViews>
  <sheets>
    <sheet name="Futures" sheetId="14" r:id="rId1"/>
    <sheet name="Personal" sheetId="7" r:id="rId2"/>
    <sheet name="Taxes" sheetId="15" r:id="rId3"/>
    <sheet name="Sheet1" sheetId="1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8" i="14" l="1"/>
  <c r="F318" i="14"/>
  <c r="L317" i="14"/>
  <c r="F317" i="14"/>
  <c r="L316" i="14"/>
  <c r="F316" i="14"/>
  <c r="D1" i="18"/>
  <c r="D5" i="18"/>
  <c r="L28" i="18"/>
  <c r="L12" i="18"/>
  <c r="L313" i="14"/>
  <c r="F313" i="14"/>
  <c r="L311" i="14"/>
  <c r="F311" i="14"/>
  <c r="H60" i="7"/>
  <c r="H63" i="7" s="1"/>
  <c r="F57" i="7"/>
  <c r="Q58" i="7"/>
  <c r="P58" i="7"/>
  <c r="H59" i="7" s="1"/>
  <c r="O58" i="7"/>
  <c r="N58" i="7"/>
  <c r="M58" i="7"/>
  <c r="L58" i="7"/>
  <c r="K58" i="7"/>
  <c r="J58" i="7"/>
  <c r="I58" i="7"/>
  <c r="H58" i="7"/>
  <c r="F310" i="14"/>
  <c r="E308" i="14"/>
  <c r="D308" i="14"/>
  <c r="C308" i="14"/>
  <c r="L310" i="14"/>
  <c r="L309" i="14"/>
  <c r="F309" i="14"/>
  <c r="L306" i="14"/>
  <c r="F306" i="14"/>
  <c r="F304" i="14"/>
  <c r="L303" i="14"/>
  <c r="F303" i="14"/>
  <c r="L298" i="14"/>
  <c r="L297" i="14"/>
  <c r="F297" i="14"/>
  <c r="L296" i="14"/>
  <c r="F296" i="14"/>
  <c r="L295" i="14"/>
  <c r="F295" i="14"/>
  <c r="G13" i="7"/>
  <c r="I14" i="7"/>
  <c r="G12" i="7"/>
  <c r="G11" i="7"/>
  <c r="G6" i="7"/>
  <c r="F292" i="14"/>
  <c r="L292" i="14" s="1"/>
  <c r="L291" i="14"/>
  <c r="L290" i="14"/>
  <c r="F290" i="14"/>
  <c r="L288" i="14"/>
  <c r="F288" i="14"/>
  <c r="L285" i="14"/>
  <c r="L284" i="14"/>
  <c r="F284" i="14"/>
  <c r="L282" i="14"/>
  <c r="F282" i="14"/>
  <c r="L281" i="14"/>
  <c r="F281" i="14"/>
  <c r="L276" i="14"/>
  <c r="F276" i="14"/>
  <c r="L275" i="14"/>
  <c r="F275" i="14"/>
  <c r="L274" i="14"/>
  <c r="L271" i="14"/>
  <c r="L270" i="14"/>
  <c r="F274" i="14"/>
  <c r="F271" i="14"/>
  <c r="F270" i="14"/>
  <c r="F267" i="14"/>
  <c r="L267" i="14" s="1"/>
  <c r="L264" i="14"/>
  <c r="L265" i="14" s="1"/>
  <c r="F255" i="14"/>
  <c r="L255" i="14" s="1"/>
  <c r="F264" i="14"/>
  <c r="F263" i="14"/>
  <c r="L263" i="14" s="1"/>
  <c r="L262" i="14"/>
  <c r="F262" i="14"/>
  <c r="L261" i="14"/>
  <c r="L260" i="14"/>
  <c r="F260" i="14"/>
  <c r="L257" i="14"/>
  <c r="F257" i="14"/>
  <c r="L256" i="14"/>
  <c r="F256" i="14"/>
  <c r="L254" i="14"/>
  <c r="F254" i="14"/>
  <c r="L249" i="14"/>
  <c r="F253" i="14"/>
  <c r="L253" i="14" s="1"/>
  <c r="L258" i="14" s="1"/>
  <c r="F250" i="14"/>
  <c r="L250" i="14" s="1"/>
  <c r="F247" i="14"/>
  <c r="L247" i="14" s="1"/>
  <c r="F243" i="14"/>
  <c r="L240" i="14"/>
  <c r="L239" i="14"/>
  <c r="L234" i="14"/>
  <c r="L232" i="14"/>
  <c r="F228" i="14"/>
  <c r="L228" i="14" s="1"/>
  <c r="L227" i="14"/>
  <c r="F227" i="14"/>
  <c r="F226" i="14"/>
  <c r="L226" i="14" s="1"/>
  <c r="F225" i="14"/>
  <c r="L225" i="14" s="1"/>
  <c r="L221" i="14"/>
  <c r="E218" i="14"/>
  <c r="E219" i="14" s="1"/>
  <c r="E220" i="14" s="1"/>
  <c r="E212" i="14"/>
  <c r="E213" i="14" s="1"/>
  <c r="E214" i="14" s="1"/>
  <c r="F215" i="14" s="1"/>
  <c r="F211" i="14"/>
  <c r="L211" i="14" s="1"/>
  <c r="E112" i="7"/>
  <c r="E114" i="7" s="1"/>
  <c r="D113" i="7"/>
  <c r="D114" i="7" s="1"/>
  <c r="F141" i="14" a="1"/>
  <c r="F141" i="14" s="1"/>
  <c r="F207" i="14"/>
  <c r="L207" i="14" s="1"/>
  <c r="F206" i="14"/>
  <c r="L206" i="14" s="1"/>
  <c r="L204" i="14"/>
  <c r="L205" i="14"/>
  <c r="F205" i="14"/>
  <c r="F204" i="14"/>
  <c r="C67" i="7"/>
  <c r="F200" i="14"/>
  <c r="L200" i="14" s="1"/>
  <c r="F199" i="14"/>
  <c r="L199" i="14" s="1"/>
  <c r="F198" i="14"/>
  <c r="L198" i="14" s="1"/>
  <c r="F197" i="14"/>
  <c r="L197" i="14" s="1"/>
  <c r="F194" i="14"/>
  <c r="L194" i="14" s="1"/>
  <c r="F193" i="14"/>
  <c r="L193" i="14" s="1"/>
  <c r="F192" i="14"/>
  <c r="L192" i="14" s="1"/>
  <c r="L195" i="14" s="1"/>
  <c r="M195" i="14" s="1"/>
  <c r="F191" i="14"/>
  <c r="L191" i="14" s="1"/>
  <c r="F187" i="14"/>
  <c r="L187" i="14" s="1"/>
  <c r="F186" i="14"/>
  <c r="L186" i="14" s="1"/>
  <c r="L202" i="14" l="1"/>
  <c r="M202" i="14" s="1"/>
  <c r="F185" i="14"/>
  <c r="L185" i="14" s="1"/>
  <c r="G167" i="14"/>
  <c r="F184" i="14"/>
  <c r="L184" i="14" s="1"/>
  <c r="F183" i="14"/>
  <c r="L183" i="14" s="1"/>
  <c r="F180" i="14"/>
  <c r="L180" i="14" s="1"/>
  <c r="F179" i="14"/>
  <c r="L179" i="14" s="1"/>
  <c r="F178" i="14"/>
  <c r="L178" i="14" s="1"/>
  <c r="L175" i="14"/>
  <c r="F177" i="14"/>
  <c r="L177" i="14" s="1"/>
  <c r="F162" i="14"/>
  <c r="L162" i="14" s="1"/>
  <c r="F176" i="14"/>
  <c r="L176" i="14" s="1"/>
  <c r="L181" i="14" s="1"/>
  <c r="M181" i="14" s="1"/>
  <c r="F173" i="14"/>
  <c r="L173" i="14" s="1"/>
  <c r="F172" i="14"/>
  <c r="L172" i="14" s="1"/>
  <c r="F171" i="14"/>
  <c r="L171" i="14" s="1"/>
  <c r="F170" i="14"/>
  <c r="L170" i="14" s="1"/>
  <c r="L169" i="14"/>
  <c r="F169" i="14"/>
  <c r="F125" i="14"/>
  <c r="M160" i="14"/>
  <c r="D167" i="14"/>
  <c r="C167" i="14" s="1"/>
  <c r="L166" i="14"/>
  <c r="F166" i="14"/>
  <c r="K165" i="14"/>
  <c r="F165" i="14"/>
  <c r="L165" i="14" s="1"/>
  <c r="L164" i="14"/>
  <c r="F164" i="14"/>
  <c r="L163" i="14"/>
  <c r="F163" i="14"/>
  <c r="L159" i="14"/>
  <c r="F159" i="14"/>
  <c r="L157" i="14"/>
  <c r="F157" i="14"/>
  <c r="L156" i="14"/>
  <c r="F156" i="14"/>
  <c r="F152" i="14"/>
  <c r="L152" i="14" s="1"/>
  <c r="L151" i="14"/>
  <c r="F151" i="14"/>
  <c r="F149" i="14"/>
  <c r="L67" i="7"/>
  <c r="K149" i="14"/>
  <c r="L150" i="14"/>
  <c r="F150" i="14"/>
  <c r="L149" i="14"/>
  <c r="F148" i="14"/>
  <c r="L148" i="14" s="1"/>
  <c r="L145" i="14"/>
  <c r="F145" i="14"/>
  <c r="F144" i="14"/>
  <c r="L144" i="14" s="1"/>
  <c r="F143" i="14"/>
  <c r="L143" i="14" s="1"/>
  <c r="F142" i="14"/>
  <c r="L142" i="14" s="1"/>
  <c r="L141" i="14"/>
  <c r="I13" i="7"/>
  <c r="I12" i="7"/>
  <c r="I11" i="7"/>
  <c r="I10" i="7"/>
  <c r="I9" i="7"/>
  <c r="I8" i="7"/>
  <c r="I7" i="7"/>
  <c r="I6" i="7"/>
  <c r="I5" i="7"/>
  <c r="I2" i="7"/>
  <c r="I4" i="7"/>
  <c r="I3" i="7"/>
  <c r="G16" i="7"/>
  <c r="L135" i="14"/>
  <c r="F135" i="14"/>
  <c r="L134" i="14"/>
  <c r="F134" i="14"/>
  <c r="F72" i="14"/>
  <c r="F75" i="14"/>
  <c r="F74" i="14"/>
  <c r="F73" i="14"/>
  <c r="L130" i="14"/>
  <c r="L129" i="14"/>
  <c r="E129" i="14"/>
  <c r="F130" i="14" s="1"/>
  <c r="F121" i="14"/>
  <c r="F122" i="14"/>
  <c r="F123" i="14"/>
  <c r="F124" i="14"/>
  <c r="F127" i="14"/>
  <c r="L124" i="14"/>
  <c r="L127" i="14"/>
  <c r="L123" i="14"/>
  <c r="L122" i="14"/>
  <c r="L121" i="14"/>
  <c r="L120" i="14"/>
  <c r="F116" i="14"/>
  <c r="F115" i="14"/>
  <c r="F114" i="14"/>
  <c r="L94" i="14"/>
  <c r="F94" i="14"/>
  <c r="F93" i="14"/>
  <c r="F80" i="14"/>
  <c r="F79" i="14"/>
  <c r="F78" i="14"/>
  <c r="F71" i="14"/>
  <c r="F68" i="14"/>
  <c r="F67" i="14"/>
  <c r="F65" i="14"/>
  <c r="F64" i="14"/>
  <c r="F58" i="14"/>
  <c r="F57" i="14"/>
  <c r="F50" i="14"/>
  <c r="F47" i="14"/>
  <c r="L188" i="14" l="1"/>
  <c r="M188" i="14"/>
  <c r="K150" i="14"/>
  <c r="G181" i="14"/>
  <c r="L174" i="14"/>
  <c r="M174" i="14" s="1"/>
  <c r="M165" i="14"/>
  <c r="L160" i="14"/>
  <c r="L167" i="14"/>
  <c r="M167" i="14" s="1"/>
  <c r="I1" i="7"/>
  <c r="L125" i="14"/>
  <c r="K126" i="14" s="1"/>
  <c r="L131" i="14"/>
  <c r="K132" i="14" s="1"/>
  <c r="L146" i="14"/>
  <c r="K147" i="14" s="1"/>
  <c r="L147" i="14" s="1"/>
  <c r="M145" i="14"/>
  <c r="F129" i="14"/>
  <c r="A16" i="7" l="1"/>
  <c r="L161" i="14"/>
  <c r="A14" i="7" l="1"/>
  <c r="D11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<sst xmlns="http://schemas.openxmlformats.org/spreadsheetml/2006/main" count="1564" uniqueCount="707">
  <si>
    <t>Cash</t>
  </si>
  <si>
    <t>Photon Private Key:</t>
  </si>
  <si>
    <t>47QuXq7Z3PHHbwoAj18Kvm2XU5LPkaARYY43xv24ubzRnR28q2UQxJv1EchZCFx3hCyddzzjvs8e7ANfvL2RANre</t>
  </si>
  <si>
    <t>Phantom Pass:</t>
  </si>
  <si>
    <t>#AadabDaPhantom69</t>
  </si>
  <si>
    <t>Current Port:</t>
  </si>
  <si>
    <t>BLOFIN Account</t>
  </si>
  <si>
    <t>Collectibles (CS2 skins &amp; Pokemon Cards)</t>
  </si>
  <si>
    <t>Date:</t>
  </si>
  <si>
    <t>Monday</t>
  </si>
  <si>
    <t>Tuesday</t>
  </si>
  <si>
    <t>Wednesday</t>
  </si>
  <si>
    <t>Thursday</t>
  </si>
  <si>
    <t>Friday</t>
  </si>
  <si>
    <t>Wknd</t>
  </si>
  <si>
    <t>WKnd</t>
  </si>
  <si>
    <t>Instrument:</t>
  </si>
  <si>
    <t>Weekday:</t>
  </si>
  <si>
    <t xml:space="preserve">P/L </t>
  </si>
  <si>
    <t xml:space="preserve">NQ </t>
  </si>
  <si>
    <t>Backtesting:</t>
  </si>
  <si>
    <t>Executions:</t>
  </si>
  <si>
    <t>Balance</t>
  </si>
  <si>
    <t>(Blown)</t>
  </si>
  <si>
    <t>TIME</t>
  </si>
  <si>
    <t>None</t>
  </si>
  <si>
    <t>NQ</t>
  </si>
  <si>
    <t>48.877.9</t>
  </si>
  <si>
    <t>NOTES:</t>
  </si>
  <si>
    <t>TYHIS IS RELUCTANCE&lt; THIS HAS BEEN MY ONLY PROBLEM IN THE FUCKING MARKET&lt; I MUST KILL THIS. GOOD SETUPS PRESENT THEMSELVES DAILY AND YET IM STILL TAKING BULKLSHIT AND MOVING MYW ORDERS FUCKING STOPPPPPP</t>
  </si>
  <si>
    <t>ALL THAT MATTERS IS THE MOMENT YOU ARE TRADING, IT DOESN’T MATTER IF YOU GOT UP LATE, IF YOUR HOUSE IS ON FIRE, OR ANYTHING, WHEN PRICE IS IN THE MACRO YOU ARE ATTENTIVE AND LOOK FOR A MODEL TO ENTER UPON. HELLA GOOD SETUPS WE MISSED TODAY LOCK THE FUCK IN THIS COMPLACENT BULLSHIT IS UTTERLY DEPLORABLE LOCK IN DUMBASSS NIGGA</t>
  </si>
  <si>
    <t>48.877.90</t>
  </si>
  <si>
    <t>8:56-8:57 | 12:49-12:53</t>
  </si>
  <si>
    <t>Cannot be moving my stops back from breakeven, I also gotta be keener and not let A+ setups that align with narrative pass me by.</t>
  </si>
  <si>
    <t>Cannot be a sleepy ass dude man lock tf in. There is no limiting factors any longer, I have to impose my will on the world and reality itself.</t>
  </si>
  <si>
    <t>WKND</t>
  </si>
  <si>
    <t>Extremely bad week, it doesn't get any lower than this, This is so obviously god testing me that I am not angry, I will ascend because that it what god it signaling me to do.</t>
  </si>
  <si>
    <t>Its simply complacency for me to not fix the errors of my sleeping and allow the same things to occur nonstep. Take a dumbass entry not even looking at your screen, you've gotten good psychology by compartmentalization. This is not  good. I should not feel like I want to step away from the market and call it a bad day. This is bad, I have to be in the working mode from 8-1 nothing more to say about it, them gym and chill.</t>
  </si>
  <si>
    <t xml:space="preserve">you not really lookin for real dawg, you backtest this shit daily, every macro throws oppurtunity, you have to be attentive dawg, this is so hard ive been in a fucking rotew because I sleep in and get fucking dpepressed about trading holy shit this is literally auatism fix some shit dude i will wake up at 6:30 lift and rip infinite coffee if it means beating this STUPID SHIT. I gotta be sharp, Actively acknowledge how muh I am risking for ANY given oppurtunity in the market place, inshallah </t>
  </si>
  <si>
    <t>I'm a sleepy as motherfucker unfortunately, this simply cannot get better if you remain this way. You have to better at being yourself. GTFO of your bed and watch the damn charts. I need to blow this funded so im trading every oppurtune macro. TS is actually sad I'd rather sit here and blow accounts than do this any longer. Like fr it's a rote, trading is very hard but I have to put risk on the table.</t>
  </si>
  <si>
    <t>BLOWN</t>
  </si>
  <si>
    <t>im not looking for real, I am not real, nothing will change if I don’t. I mean ts deadass embarassing, THIS IS FUCKING COMPLACENCY IHAVE NO FUCKING TIME ANYMORE DUDE IM 20. There is no time, there is no time, there is no time, I have been doing the same shit since september. It don't gotta be like this, you are worthy of wealth and all that you like, you know what to do and how to act while doing it, so lets just go.</t>
  </si>
  <si>
    <t>This is how it needs to be, up attentive, ready to get after it. I tend to look for fades way too early, I need to kill my bias in the market place and react to price and hypothesize. I am not cooked, I need to take myself less seriously and lock tf in and take entries IM BEING FUCKING RETARD, THIS IS JUST SUM SHIT I DO JUST FUCKING DO it. My struggles are entirely psychological, I don't even care anymore dude I have nothing to lose at this point, I am not going to quit I might as well do the damn thing, I think in clear objectivity and use the full extend of my brainpower to do every endeavor of my life.</t>
  </si>
  <si>
    <t>Win or loss?</t>
  </si>
  <si>
    <t>Long or short</t>
  </si>
  <si>
    <t>L</t>
  </si>
  <si>
    <t>11:52-11:54</t>
  </si>
  <si>
    <t>L day, I am a sleepy mofo man, my execution in the 11:50 macro wasn't bad, had I kept full risk on I would've had a 30 point win with 5 points risk on 2 contracts, I just trailed way too early, gotta wait for displacement. I am good tho we good on gang I love life I am god I love earth.</t>
  </si>
  <si>
    <t>Short</t>
  </si>
  <si>
    <t>W</t>
  </si>
  <si>
    <t>10:09-10:34</t>
  </si>
  <si>
    <t>W day, I wanna be there for AM macro but if it's gonna compromise my whole day I might was well just rest up. W trade today but I Really gotta be attentive FOR EVERY MACRO I am awake for. Hella good oppurtunites missed. I am profitable though, I will have extreme accuracy and I will be paid out VERY soon.</t>
  </si>
  <si>
    <t>No Trade</t>
  </si>
  <si>
    <t>I read price better than ever, I simply need to be willing to trust in myself to form a strong hypothesis. Entering SWIFTLY is a required in these markets, I after to be able to enter reactionarily, within in seconds of a price move. I have to be utterly ok with such entries and assess risk beforehand. I had many winning Ideas today, should've been a 3-4 trade green day. I can and will do this shit.</t>
  </si>
  <si>
    <t>DUDEEEEEE TAKE THE FUCKING TRADE. THERE WASN’T EVEN ANY REASON TO DERISK GOD DAMN. I moved my order out of 1:6 60 point trade, this is dumb.</t>
  </si>
  <si>
    <t>L,L</t>
  </si>
  <si>
    <t>Short,Long</t>
  </si>
  <si>
    <t>8:43-8:51</t>
  </si>
  <si>
    <t>I struggle with reluctance so much that it is only natural that I will have to struggle with forcing trades as well on my journey to profitablility, ONE THING  I cannot  do is come into a low probable day waking up past 8:30 hop on and take some bullshit without derisking. I traded like a retard today but at least I traded, I have to be trading every AM macro. I'll be back of course but I really gotta fix the reluctance and get this shit, the short I took wasn't terrible but it was berfore macro so I got manipulated, my mind wasn't sharp, I cannot be selling like that.  I then took longs on repected sibi but NQ formed bearish SMT with ES, I have to derisk and go breakeven there . In any case, wake yo ass up, find narrative, derisk on bad days, why are we being fucking retarded. You dont even have your glasses on, youre doing the same shit you were doing back then, forcing yourself to hop on and gamble. This is not ok. COME ON BRO. As for my entires, they were mostly just forced trades I take to feel good about taking a trade and I need to stop that.</t>
  </si>
  <si>
    <t>Links:</t>
  </si>
  <si>
    <t>Trading Insights and Strategies 📈</t>
  </si>
  <si>
    <t>Trading Strategy Insights</t>
  </si>
  <si>
    <t>October Backtesting Overview</t>
  </si>
  <si>
    <t>Backtesting Lecture Overview</t>
  </si>
  <si>
    <t>Mastering Quarterly Theory 📈</t>
  </si>
  <si>
    <t>Understanding Market Manipulation Strategies 📈 (orderblocks)</t>
  </si>
  <si>
    <t>Understanding Market Macros and Trading Strategies</t>
  </si>
  <si>
    <t>Understanding Market Conditions for Trading</t>
  </si>
  <si>
    <t>Understanding PXH and PXL Concepts</t>
  </si>
  <si>
    <t>Understanding Smart Money Techniques</t>
  </si>
  <si>
    <t>Sat</t>
  </si>
  <si>
    <t>Sun</t>
  </si>
  <si>
    <t>You simply cannot succeed if in the back of your mind you don't believe it's possible. I can be profitable, Each and every macro I trade presents bountiful oppurtunity, I could pass my funded in any given macro on any given day of the week. I have deep psychological work to do and I will continue to forward test so my mind gets reps in. I cannot be inattentive during ANY MORE MACROS. I believe in myself and I will succeed. Each in ever yarea of my life is on an uptrend. I am going to journal a page of prime adam as of 04/01/25 and SIMPLY WORK TO THAT GOAL ALWAYS. In the middle of writing this during PM macro a PXH entry presented itself and ran for 140 points on a move. I am now making a daily profile file to see what I can find about that. God is quite punishing I have models I act on DURING ONLY SPECIFIC TIMES of the day. The fact I am still romo and forcing entires is sad. DEADASS every macro presents an entry model that I spot. If I only trade during my permitted times, take 2-3 entries a day with my models, I am guarnteed success over the long run because I KNOW the A+ setups I see win 50% of the time.</t>
  </si>
  <si>
    <t>I stay spotting good setups, I just gotta only take the best ones and feel good about putting risk on the table. I can really get this shit mane.</t>
  </si>
  <si>
    <t>I am deadass the worst trader ever dude,  I need to just start trading bro fuck the accounts I need to just take premium setups. I took some actual bs outside of macro like today was free and I just dishonored my bloodline. I need to get better. I am just going to trade all macros until im not retarded anymore ig.</t>
  </si>
  <si>
    <t>I spot trades, call the market to the candle, and don't execute, I simply cannot comprehend why my psychology is so bad this late into my journey, this isnm't funny at all dude you need to execute and take good trades. I cannot even believe ts dude.</t>
  </si>
  <si>
    <t>No more.</t>
  </si>
  <si>
    <t>Deadass no trades in two weeks, like ts is sad bro. I gotta trade everyday If I ever want to get a payout. I gotta trade 1-2 times a day deadassma, Im looking for a job. I wont ever give ts up and its just sad that I don’t and havent acting to my best ability in every facet of my life. I've commited myself to something more. My success transcends my body or name. I have to do this for something greater. Everything I do, there is quite literally no reason to not do it to the best of my ability. That is bottom line, regardless of all my issues. This is my journal now, I REPORT HERE EVERY FUCKING DAY DOG. YOU DONT WANT TO BE AVERAGE YET YOU ARE SOOOOOO COMPLACENT. DEPRESSION IS COMPLACENCY, THERE IS NO TIME. Like deadass we twenty now, broke, virgin, dead social life, Imma journal ts out on paper and really break shit down, but I can't be insecure any more dude, these things are all true and I have to embrace it, this is liberating. I genuinely mean that shit. I dont care about my problems anymore I have sacrificed myself to achieving the most I can. I gotta make bread NOW, I gotta study and work 8 hours A DAY NOW, I NEEDA do approaches and snapchat adds, I mean I seriously gotta stop being so soft on myself. All concious self defeat is not tolerated, all of my subconcious issues are not real, and I am aware of that. This shit isn't real, I am burning time over shit that isn't real. I HAD TO GO THROUGH HELL TO GET TO THIS STATE AND I WONT LET IT BE IN VEIN. I wanted to be my ultra locked in self by 22, I am well over halfway their since my 18th birthday. I am liberated from my short comings and I will entirely and utterly work until my goals are satisfied.</t>
  </si>
  <si>
    <t>C:\Users\adams\OneDrive\DayTrading\Executions</t>
  </si>
  <si>
    <t xml:space="preserve">Autism trade lowkey, It was a good idea but the yellow folder FOMC Williams speaks news moooned the market. However my stop loss got slipped past and my idea ended up paying out. My execution is was off a int liq sweep out of a SIBI, I took my order on the next candle short with stops at the liq sweep high. Thankfully my stop got slipped and  my TP got hit. This was a bit of a ROMO entry, although it was permissible in my strategy to enter. </t>
  </si>
  <si>
    <t>9:01-9:02</t>
  </si>
  <si>
    <t>I read price very poorly today, I need to get better about executing, I need to actually feel good about tagging into the market and my primary goal on every trade is to just get break even. I'm gonna rigorously define my models in my notebook tonight and backtest them. I am no longer reluctant and I show up every day.</t>
  </si>
  <si>
    <t>In the A:M I missed a good buyside model, other than that price was pretty shit as far as my models go. I really should've been attentive in the P.M though. I got both buyside and sellside models locked tf in I just gotta be a robot and trade my cock off. This is possible and I am worth. Amen Inshallah.</t>
  </si>
  <si>
    <t>MKT CLOSED</t>
  </si>
  <si>
    <t>I was at school the whole day, my trading strategy is pretty simple though I can really execute anywhere so long as my price model presents itself.</t>
  </si>
  <si>
    <t>I would say this is the first day I've missed since the one in Feburary, I stayed up til 2am, deplorable I must be better. I still saw my PXL model set up and didn’t take it so theres that I guess.</t>
  </si>
  <si>
    <t>8:48-8:49</t>
  </si>
  <si>
    <t>I am not at all mad with how this AM went, I am so close to being locked in with ts, I called the bias to a T I just really got a poor entry and got manipulated and had to get out. I would say 3 models presented themself In this session that I very well could've taken. Had I held my shorts my DOL would've been taken. My entry was dogshit though I entered a CE of PXL that didn't even get closed below. I have to be better, more attentive, I am so close to locking the fuck in. I am a robot, I enter my models in the permissible timeframes, I reflect, and repeat. I do this every day because I have committed myself to something greater.</t>
  </si>
  <si>
    <t>9:02-9:04</t>
  </si>
  <si>
    <t>I don’t mind my entry, ATT high SMT ob entry is never bad, just no HTF level or nun. I hopped off too early and never came back. I gotta have immense confidnece and act on my strategy.</t>
  </si>
  <si>
    <t>Re</t>
  </si>
  <si>
    <t>Tard</t>
  </si>
  <si>
    <t>Faggot</t>
  </si>
  <si>
    <t>MONDAY</t>
  </si>
  <si>
    <t>NQ, NQ</t>
  </si>
  <si>
    <t>BE, W</t>
  </si>
  <si>
    <t>Long, Short</t>
  </si>
  <si>
    <t>Actual self defeat for me to perseverate about day trading and then not show up three days in a row, an hour of attentiveness, that is all that is required of you to participate in the market. Pitiful.</t>
  </si>
  <si>
    <t>Waking up late is a nonissue, I am god and I will impose my will. EVERY FUCKING TRADING DAY SHOULD LOOK LIKE THIS, STONE COLD FUCKING KILLER THINKING IN CLEAR OBJECTIVITY. I FELT NOT A THING WHEN TRADING.</t>
  </si>
  <si>
    <t>11:35-11:38 | 12:03-12:16</t>
  </si>
  <si>
    <t>TUESDAY</t>
  </si>
  <si>
    <t>11:52-11:55 | 12:03-12:04</t>
  </si>
  <si>
    <t>L, L</t>
  </si>
  <si>
    <t>I really need to trust my models and execute them when I see them, Obviously my own judgement plays a case in each and every one of my entries. It is with this week open that I have entered my final form of trading, perhaps not final because I am always adapting but I am profitable now, I think and trade profitably and this is a result of the holistic amelioration of my life. Day trading is just something I do now. Praise god love yourself and love life my friend.</t>
  </si>
  <si>
    <t>7.82 R</t>
  </si>
  <si>
    <t>1.28 R</t>
  </si>
  <si>
    <t>WEDNESDAY</t>
  </si>
  <si>
    <t>NO TRADE</t>
  </si>
  <si>
    <t>I cannot change anything in the past I can only shape my future. Bad thoughts today, but I only have to be better. There is nothing quite doing bad in school. Literally, its just a test of my brain and my ability to prep. I will be back.</t>
  </si>
  <si>
    <t>THURSDAY</t>
  </si>
  <si>
    <t>11:34-11:36</t>
  </si>
  <si>
    <t>0.7176 R</t>
  </si>
  <si>
    <t>I am ready to win, I need to backtest every day, focus tf up and win.</t>
  </si>
  <si>
    <t>FRIDAY</t>
  </si>
  <si>
    <t>WeekTotal:</t>
  </si>
  <si>
    <t>8:57-8:57</t>
  </si>
  <si>
    <t>1.5474 R</t>
  </si>
  <si>
    <t>4.275 R</t>
  </si>
  <si>
    <t>This trade today should've won, I just set my stop a little too aggresively, I am reading price well and more importantly executing daily. FUCK ALL THAT NOISE JUST TRADE YOUR MODEL DUDE. STOP GETTING CAUGHT UP IN LOW TIME FRAME MOVEMENTS AND THINK IN CLEAR OBJECTIVTY AT all times.</t>
  </si>
  <si>
    <t xml:space="preserve">R = $200 on </t>
  </si>
  <si>
    <t>apex 50k</t>
  </si>
  <si>
    <t>Notes:</t>
  </si>
  <si>
    <t>It is high time I dedicate some time to market research and start running my portfolio accounts a bit more actively. I need to be utterly better about exitting positions, I am in particular talking about my lack of taking profit when HOOD hit $65, SMCI hit $50 and $60 respectively, no taking profit or hedging when SOLANA hit $290. I need to not fomo and gtfo of positions when I am in major profit. Partials are never bad, de-exposure is never bad. 05/03/25</t>
  </si>
  <si>
    <t>11:21-11:22</t>
  </si>
  <si>
    <t>1.5717 R</t>
  </si>
  <si>
    <t>I was certainly overrisked on this trade, that is really the only gripe. There was an SMT that I entered off of, not a particularly high confluence trade, HTF bias was certainly long and HTF DOL was 4H SIBI. Not a good or bad trade beside the risk error.</t>
  </si>
  <si>
    <t>12:18-12:22</t>
  </si>
  <si>
    <t>6.796 R</t>
  </si>
  <si>
    <t>20 minis, 7.75:34.85 RR, calm ass entry that I don’t mind smacking. Just gotta feel good about every entry. ES and YM are meeting their SIBIs while NQ has breached it and is forming weak side SMT while YM and ES made higher highs. Three consecutive lower highs to ES and YMs' 3 higher highs made me enter. TP was at a low in a BISI, nice trade, should keep me in profit for the week if I keep risk right, although I was certainly over leveraged on this trade.</t>
  </si>
  <si>
    <t>10:59-11:05</t>
  </si>
  <si>
    <t>0.51 R</t>
  </si>
  <si>
    <t>Gotta be better about trading outside the main setup at the crib. Entry wasn't terrible but there is much oppurtunity in this market.</t>
  </si>
  <si>
    <t>NQ, NQ, NQ</t>
  </si>
  <si>
    <t>L, DrL, L</t>
  </si>
  <si>
    <t>9:06-9:08 | 11:11 - 11:12 | 11:31-11:38</t>
  </si>
  <si>
    <t>1.613 R</t>
  </si>
  <si>
    <t>Full recap later, however this is all I ever wanted, to be trading under a strategy consistently. It won't be long until I start winning big, catching massive moves and passing fundeds. All of my trades today weren't great, it's really hard to trade AM macro, especially with a trump speech looming. In any case the BPR entry was more of a long and pray than any sort of careful analysis or model. The first short I took was very nice and got me break even immediately, I derisked only and got stopped, one more sweep and a nicer move was made. Off of this move I took a PXL entry and got stopped out for a little under 1 R on seven Cons. Overall not a great day however I am really happy my psychology couldn't be better and I am in this for the long haul, regardless if I change my strategy or what not I love trading and will continue to do it forever.</t>
  </si>
  <si>
    <t>1:21-1:32</t>
  </si>
  <si>
    <t>0.8412 R</t>
  </si>
  <si>
    <t>2.2601 R</t>
  </si>
  <si>
    <t>Trading some bullshit today, out of the pm macro I wanted to catch a bearish continuation, I entered of a SIBI sweep high and kinda got rekt, could've got out break even.</t>
  </si>
  <si>
    <t>L, L, L</t>
  </si>
  <si>
    <t>SHORT SHORT SHORT</t>
  </si>
  <si>
    <t>10:30 | 12:02</t>
  </si>
  <si>
    <t>Took two shorts as soon as I saw SMT, I really gotta add a bit more constraint to my models and feel out the market. I entered in the chop in between macros, ts was really not permissible, I don't wanna feel bad at the end of my trading days anymore man. Let me just really lock the fuck in and start back testing and enter only god set ups. Additionally hit Shift+S and accidentally lost 68 on ES, faggot fuck.</t>
  </si>
  <si>
    <t>BE,L,L</t>
  </si>
  <si>
    <t>10:01-10:10 | 11:30 - 11:35 | 12:26-12:30</t>
  </si>
  <si>
    <t>I can easily identify that the prevailing trend as bullish, and yet I'm trying to catch reversal shorts. All of my entries were meritful and model based but its just hard when the market is bulling so hard.</t>
  </si>
  <si>
    <t>1.6539 R</t>
  </si>
  <si>
    <t>1.311 R</t>
  </si>
  <si>
    <t>LONG</t>
  </si>
  <si>
    <t>11:29-11:33</t>
  </si>
  <si>
    <t>2.1984 R</t>
  </si>
  <si>
    <t>Really wanted to see a new high of day form and additionally wanted to see the top of the daily orderblock get filled, took an anticipatory breaker entry and banged a 1:8, I was underrisked severely, this could've been a 6.6 R day if I was trading entirely within the constraints of my strategy, I will only get better.</t>
  </si>
  <si>
    <t>SHORTSHORTSHORTLONG</t>
  </si>
  <si>
    <t>Went on tilt and blew that shit, thjought I was better</t>
  </si>
  <si>
    <t>Work</t>
  </si>
  <si>
    <t>Hungover</t>
  </si>
  <si>
    <t>Depressed</t>
  </si>
  <si>
    <t>I am burnt on quantum shorts and will have to close soon, I neeed to be so much better about trading and not just holding positions</t>
  </si>
  <si>
    <t>Short Accidental</t>
  </si>
  <si>
    <t>I will have to be much better about trading on my days off, and day I work I need to not be aretard and accidentally short and the bottom of a range. I love trading and I will make this shit work. I CANNOT BE INATTENTIVE ANYMORE OR UNDERRISK AT ALL. ONLY OVERRISK WITH CAUTION.</t>
  </si>
  <si>
    <t>NQNQNQNQQ</t>
  </si>
  <si>
    <t>LLLLL</t>
  </si>
  <si>
    <t>SHORTSHORTSHORTSHORTSHORT</t>
  </si>
  <si>
    <t>I am wanting to start overleveraging and taking more trades. Today was fucking retard, a long bias day where I kept trying the shorts way to day much. I ddint trade perm9issibly under my model or my straegy. I am a retard and tehre is no reason for this. Come on dude.</t>
  </si>
  <si>
    <t xml:space="preserve">L, L </t>
  </si>
  <si>
    <t>See SC</t>
  </si>
  <si>
    <t>I did not hate either of mye xecutions today, my long would've worked out of I had no stop, simply put the SMT reformed into CE of a BISI and then shot up. My short was good as well, my TP was where it should've been it simply was missed by about a point. I am most probably going to blow this account and thats fine I want to be more leveraged because I simply need to get some fucking motion going, I will pick up another On-Sale account soon. NEW TRADING STRATEGY. ONLY MY MODELS, 1-2 MAX HIGH RISK TRADES A DAY.</t>
  </si>
  <si>
    <t>L, W, L</t>
  </si>
  <si>
    <t>Weekly Budget:</t>
  </si>
  <si>
    <t>Fidelity</t>
  </si>
  <si>
    <t>Crypto</t>
  </si>
  <si>
    <t>Pokemon</t>
  </si>
  <si>
    <t>CS2</t>
  </si>
  <si>
    <t>YM, NQ, NQ</t>
  </si>
  <si>
    <t>W, L, W</t>
  </si>
  <si>
    <t>LONG, LONG, SHORT</t>
  </si>
  <si>
    <t>13:02 - 13:04</t>
  </si>
  <si>
    <t>0.695 R</t>
  </si>
  <si>
    <t>I like how I traded today, thje only trade I took on my funded was my new model, New hour open with SMC and ATT, I am going to heavily backtestt his over trump PA and see what I see, The other two longs should've both won, I need to full risk on this account and  trust myself, I actually need to traded entirely within the constraints of my system. I need to start winning man.</t>
  </si>
  <si>
    <t>dL</t>
  </si>
  <si>
    <t>SHORT, LONG</t>
  </si>
  <si>
    <t>SHORT</t>
  </si>
  <si>
    <t>These entires as seen on the executions folder were really poor, however the bias was impeccable. For this first trade instead of just entering like a tard I need to wait for the iFVG or the rebalance, because those are certain occurences, the rebalance happens, I shorted a BISI, and got rekt, had I put my stop loss higher I would've caught at least 60 points, ts is not a game man I gotta lock the fuck in. For the long I entered off of a LTF SMT that I was anticipating to form, That shit didnt form and the candle closed red. I got stopped out, price ran daily low and then long played out. Ts is really sad I gotta trade entirely within my system.</t>
  </si>
  <si>
    <t>WORK NT</t>
  </si>
  <si>
    <t>WORK nT</t>
  </si>
  <si>
    <t>WORK : NQ, NQ</t>
  </si>
  <si>
    <t>I need to stop slacking on this fucking log regard less if its on the phone or not. STOP  BEING A LANGUID PUSSY BITCH</t>
  </si>
  <si>
    <t>L,L, BE</t>
  </si>
  <si>
    <t>LONG, SHORT, SHORT</t>
  </si>
  <si>
    <t>I was simply erroneously biased in the am macro, long didn’t play out from 8:30 - 8:45 , they printed after macro start and I was trying to catch short continuations, the second trade was really the only sin, I should be trailed BE or close to it. No reason to take such an L when I was in profit. In any case my bias was just wrong but my executions were good.</t>
  </si>
  <si>
    <t>SRPT is Martin's biggest position, I trust in that guy quite a bit. I really need to start doing my own due dilligence for my money, I got burnt so bad on QBTS im gonna be unprofitbale for 2 years straight in this account. It was a nice introduction to short selling but its time I stop being so flippant about portfolio management and lock the fuck in.</t>
  </si>
  <si>
    <t>QBTS was a poor fucking position -$436</t>
  </si>
  <si>
    <t xml:space="preserve">Got margin called out of SMCI, 6.2 ish shares. </t>
  </si>
  <si>
    <t>LONG: Around $6600 atm (06/17/2025)</t>
  </si>
  <si>
    <t>F = p/l - q/g</t>
  </si>
  <si>
    <t xml:space="preserve">where p is the P that the investment will increase in value P(I) </t>
  </si>
  <si>
    <t>q is the P that it decreases, q = 1-p</t>
  </si>
  <si>
    <t>g is the fraction gain in case p, (eg. 10% ; g=0.1)</t>
  </si>
  <si>
    <t>and l is the fraction lost in case q, (eg. 10% ; l = -0.1)</t>
  </si>
  <si>
    <t>Kelly Criteron:</t>
  </si>
  <si>
    <t>for example SMCI at  $22 when I bought it; p = 50%, q = 50%, g = 1, l =0.5. F would be 50% OPTIMUM POSITION SIZE.</t>
  </si>
  <si>
    <t>I will now be basing position sizing off kelly criterion, and certainly be looking to do a fraction of it</t>
  </si>
  <si>
    <t>in addition I will do due dilligence and end positions where need be.</t>
  </si>
  <si>
    <t>dL,  BE</t>
  </si>
  <si>
    <t>SEE SC</t>
  </si>
  <si>
    <t>SHORT, SHORT</t>
  </si>
  <si>
    <t>W, dL</t>
  </si>
  <si>
    <t>This was a good AM sesh for me, I was sleeping on longs in the First macro, no biggie, waited for SMT to print in the second macro to solidify my bearish bias and took two nice trades, the first of which I derisked a little early, the second of which was a beauty and got me BE instantly. This is how i gotta be trading, consistent, emotionless, fastidiously. I may be back on my phone for PM but ill be working so wh o knows. Both trades worked out, I caught the top on that move I could've held that for the whole day and been chilling.l</t>
  </si>
  <si>
    <t xml:space="preserve">I certainly want to get more of these high sentiment trades, they are hard to come by though, shorting the 8:30 - 8:45 is permissible but you have to heed the am macro reversal. I wanted the whole day dump, I only got 15 minutes, in any case though me trailing my stop was a good idea IN CASE of the whole day dump, I made the same amount of money I would've made with the TP. The only implication of this is that If I weren't in drawdown and I was on a PA account my trailing threshold would now be $900 higher. When I get on the PA account I will trail much much more aggressive and the be a bit more lax when I am out of drawdown. I gotta start wiping these fucking funded companies right god damn now man. </t>
  </si>
  <si>
    <t>NQ…</t>
  </si>
  <si>
    <t>FUCK</t>
  </si>
  <si>
    <t>L,Llllllllllllllllllllll</t>
  </si>
  <si>
    <t>SEECCC</t>
  </si>
  <si>
    <t>Yea rip I just traded like a retard and tilted the rest of my account out and that kinda sucks but I only did it because I want to trade on a fresh 50k. Although I should've waited until next TUESDAY BECAUSE THAT’S THE LAST POSSIBLE DAY I CAN GET A DISCOUTNED ACCOUNT. NO MORE RETARDION, IM COMING DIFFERENT WITH MY  CONSISTENCY NEXT WEEK.</t>
  </si>
  <si>
    <t>see</t>
  </si>
  <si>
    <t>t = trailed, d = derisked</t>
  </si>
  <si>
    <t>Notes are in SC Ts could've easily won and Id be balling. I REALLY GOTTA  lock in my LTF entries. The short I took was good, any time I get BE I AM MUY FELIZ</t>
  </si>
  <si>
    <t>L, tW,dL tW</t>
  </si>
  <si>
    <t>LONG, SHORT, SHORT, SHORT</t>
  </si>
  <si>
    <t>NQNQNQNQNQNQNQ</t>
  </si>
  <si>
    <t>There is no reason I over trade like that, take good executions and only when you see them. Risk accordinngly and strive for Break even. Genuinely cannot be over trading like this I don’t even get it dumb ahh shi.</t>
  </si>
  <si>
    <t>SEE</t>
  </si>
  <si>
    <t>Took an AM macro reversal, JP spoke at 9 am and t he profile looked right. On the LTF YM was dumping and there was a TS OB to enter off of, candles were printing bearish and I took a nice short. Stuck to my plan and didn't move any orders and ended up catch a near 3 RR trade. W</t>
  </si>
  <si>
    <t>NQ, YM, NQ</t>
  </si>
  <si>
    <t>aW, tW, BE</t>
  </si>
  <si>
    <t>SHORT, SHORT, SHORT</t>
  </si>
  <si>
    <t>Beside the accidental short fill on NQ for the first trade, I really liked how I traded. I got BE extremely quickly on every trade, basically risked nothing today. The market just wasn't distributing at the particular time I went short. Great AM sesh, see screenshots for executions.</t>
  </si>
  <si>
    <t xml:space="preserve"> </t>
  </si>
  <si>
    <t>BBM $total:</t>
  </si>
  <si>
    <t>WWWWWWWW</t>
  </si>
  <si>
    <t>T:</t>
  </si>
  <si>
    <t>PROFITALBE ASS FUCKING WEEEK LETS GET IT I AM GONNA START WINNING RIGHT FUCKING NOW. SEE SCREENSHOTS FOR EXECUTIONS</t>
  </si>
  <si>
    <t>autism</t>
  </si>
  <si>
    <t>R = 200</t>
  </si>
  <si>
    <t>transactions</t>
  </si>
  <si>
    <t>SRPT conference call makes me feel good about Elavidys, I'm thinking that the market has mostly priced out Elavidys so any good news is a surprise, my cost basis isn't terrible IMO. Additionally, I sold three shares of HOOD, this run up was spectacular and perhaps I'd re-enter if crypto becomes a bigger monster.</t>
  </si>
  <si>
    <t>AM macro looked like shit,  I was badger moving by the time any meaningful distribution happened. Hella good entries but I just wasn't look at the screen long enough to see them. GG THO WE NOT MAD ABOUT NO TRADES I JUST KINDA DON’T LIKE EM CUZ THAT’S WHERE I CAME FROM TYPE SHI. WE FINNA LOCK IN AND NOT OVERTRADE CUZ OF IT.</t>
  </si>
  <si>
    <t>BE, L, L, L</t>
  </si>
  <si>
    <t>LONG, SHORT. RETARD SHORT, SHORT</t>
  </si>
  <si>
    <t>My executions, justifitications, and criticalities can be seen in the screenshot, Overall I am a bit pissed off that things didn't go better, however I will not allow my emotions to affect ANYTHING within my trading. Therefore this was a good day. I also think that within my trading after I exit a position I will not write up my thoughts until I hop off the charts, because I miss re-entries and continuations, I want to be attentive to price regardless if I'm in or not. I DONT EVEN KNOW WHATT HE FUCK IM DOING I CANT EVEN SCREENSHOT THESE EXECUTIONS BECAUSE I AHTE THEM SO BAD I WANT TO FUCKIN G KILL MYSELF I MEAN FUCK I LITERALLY HATE MYSELF WHAT THE FUCK IS THAT SHIT NIGGER NIGGER NIGGER. The self loathe I felt during that execution was terrible. I mean I got slipped so fucking bad, TV data feed fault, and then I just simply got instant drawdown of 20 points. I really have to be careful taking reversal models on ultra bullish days, I dont ever really try to catc h the falling knife, however the HTF bias has been bullish for at least a couple months now.</t>
  </si>
  <si>
    <t>NQ x  4</t>
  </si>
  <si>
    <t>Net worth:</t>
  </si>
  <si>
    <t>Margin Acc:</t>
  </si>
  <si>
    <t>Roth:</t>
  </si>
  <si>
    <t>LONGEST WIN STREAK</t>
  </si>
  <si>
    <t>4 days</t>
  </si>
  <si>
    <t>NQ x 3</t>
  </si>
  <si>
    <t>dL, L, L</t>
  </si>
  <si>
    <t xml:space="preserve">SHORT, SHORT, SHORT </t>
  </si>
  <si>
    <t>This week was a really HUGE RIP simply because I should've got HUGE daily move LONG Ws all this week really told me is that when the market is trending, and I know its doing so, be WAYYYYY LESS careful on the drifting side. AND WAYYY more careful on the reversal side. These days i smack three shorts all before 10 am are a poor heurisitic and an immense problem in my trading. I need to think in clear objectivity. All subjectivity needs to fucking die. ITS STILL THERE. I should not have to reaffirm myself to look long, I look at price and news drivers and fucking execute.</t>
  </si>
  <si>
    <t>no trade</t>
  </si>
  <si>
    <t>See SC for notes.</t>
  </si>
  <si>
    <t>wednesday</t>
  </si>
  <si>
    <t>nq</t>
  </si>
  <si>
    <t>blown</t>
  </si>
  <si>
    <t>L,L, burned last $400</t>
  </si>
  <si>
    <t>I don’t really know, I woke up late from pure exhaustion and then did not analysis and jumped into longs, retardwtf, I need to take a step back. A. you go make coffee every morning so you postpone start time a lot. B. it takes 10 min max to mark up the chart. The new rule is u must mark pertinent levels for bias everytime</t>
  </si>
  <si>
    <t>Cases:</t>
  </si>
  <si>
    <t>Fever</t>
  </si>
  <si>
    <t>D&amp;N</t>
  </si>
  <si>
    <t>Recoil</t>
  </si>
  <si>
    <t>Kilowatt</t>
  </si>
  <si>
    <t>Rev.</t>
  </si>
  <si>
    <t>Last $:</t>
  </si>
  <si>
    <t>Total:</t>
  </si>
  <si>
    <t>Chroma 3</t>
  </si>
  <si>
    <t>Falchion</t>
  </si>
  <si>
    <t>Fracture</t>
  </si>
  <si>
    <t>Gamma 2</t>
  </si>
  <si>
    <t>Glove</t>
  </si>
  <si>
    <t>Gamma</t>
  </si>
  <si>
    <t>Chroma 2</t>
  </si>
  <si>
    <t>THURDSAY</t>
  </si>
  <si>
    <t xml:space="preserve">NO TRADE </t>
  </si>
  <si>
    <t>The limit order bug fucked me over a bit, my entries overall were just not great, my acuity was not great, and overall this is not  a morning that would define a profitable trader. Had I got BE on the first and got stopped for 1R on the second I can say that this wouldn't be a morning Im mad about, but that didnt happen, so I am mad, be fucking better.</t>
  </si>
  <si>
    <t>work</t>
  </si>
  <si>
    <t>ES</t>
  </si>
  <si>
    <t>W shorts on ES, There wasn’t technically a high that the SMT formed off but NQ sweeped a high and then both formed the OB, I anticipated the OB and entered the top, Had I put on permissible risk I would've won big, over 6 R. In any case I feel good and Now this eval is back to BE.</t>
  </si>
  <si>
    <t>HUGE W PRE MACRO SHORT I FUCK WITH THIS ENTRY SO HARD NO FUCKING DRAW DOWN, IT WAS A WONKY SEQUENCE SO SEE THE SCREENSHOT BUT BASICALLY I SHORTED MORE AT PXL FOR A LOWER AVERAGE BUT WON ANYWAY, I REALLY SHOULD'VE KEPT MY PLAN ON AND NOT FULL TPED EARLIER. PRICE RAN AND I COULD"VE FASHO GOT MORE OUT OF THE POSITION, HOWEVER WE ARE NOT MAD AT THIS AT ALLLLLL.</t>
  </si>
  <si>
    <t>dL, W</t>
  </si>
  <si>
    <t>LONG,  SHORT</t>
  </si>
  <si>
    <t>Again, had I taken permissible risk, I would've passed my funded, In any case my trading certainly looks to be on an uptrend, I feel very good in this regard I like the am 8:30 - 9:30 sesh parsed in the way I have figured. This entry was based on feel with an anticiaption for the FVG to cons. to IFVG model.  Kept risk on like a dawg and caught a banger. End of macro felt prime for a retracement. In all honesty I should've really won on the pre macro long, my risk was very light there, I like the actual way I trade now, just getting risk and psychology to utterly stringent in really my final step, then just simply executing and winning. AM sesh is fine for me atm</t>
  </si>
  <si>
    <t>L, tW</t>
  </si>
  <si>
    <t>Major fucking W week, Ts and shit to me anymore I NEEEEED to start consistently passing fundeds, and through that I will get a payout. I traded really good on two of the days, catching bangers. But again, I got stopped out on mulitple entries that would've been far more green than my best trades this week, particularly the short on friday and the long on thursday, I need my entries to be clean, to the tee, I have to be better. I will back test this week on one of the WKND days and I will be back in blood next week, dont work tuesday or friday so Ill have two normal trading days, If I take an execution at work its under risked to shit, maybe even R = $50, Im not losing any more money when I dont need to.</t>
  </si>
  <si>
    <t>Research is key, conviction is key, kelly criterion is life, I will run this portfolio in my greatest accordance.</t>
  </si>
  <si>
    <t>LONG: SOL 16.7</t>
  </si>
  <si>
    <t>LONG: XRP 140.89</t>
  </si>
  <si>
    <t>LONG: ETH 0.159</t>
  </si>
  <si>
    <t>As of 7/18 (4 pc)</t>
  </si>
  <si>
    <t>I just burnt the remaining 100 USDT in my BLOFIN, I NEED TO BE UTTERLY FUCKING READY TO SHORT RETARDED EUPHORIA, AND HEDGE MY OWN POSITIONS, I NEED TO LONG LOW AS PRICES, I WILL REFUND THIS ACCOUNT SOON AND I WILL NOTTTT BE A RETARD, I WILL TAKE MY MODELS AT PERMISSSSSSSIBLE PRICES.</t>
  </si>
  <si>
    <t xml:space="preserve">School: </t>
  </si>
  <si>
    <t>Aid:</t>
  </si>
  <si>
    <t>Year 1</t>
  </si>
  <si>
    <t xml:space="preserve">Year 2 </t>
  </si>
  <si>
    <t>R</t>
  </si>
  <si>
    <t>Return</t>
  </si>
  <si>
    <t>SRPT is ran by a dogshit managemnt team and I just hope to sell for a minor loss.</t>
  </si>
  <si>
    <t>Overcounted</t>
  </si>
  <si>
    <t>THUSDAY</t>
  </si>
  <si>
    <t>LONG SOL</t>
  </si>
  <si>
    <t>W, L</t>
  </si>
  <si>
    <t>LONG, LONG</t>
  </si>
  <si>
    <t>RR</t>
  </si>
  <si>
    <t>This was a huge long, I am not ROMO or FOMO or reluctant anymore, it took so much time but I feel profitability is on the horizon, I shall humble myself and stay true to god, in all realms of my life I am stringent.</t>
  </si>
  <si>
    <t>SEE SC FROM NOW ON</t>
  </si>
  <si>
    <t>Notes are in SC, I really gotta lock in my executions, and be picky about them. Because I was reluctant for literally damn near a year, I have found myself overtrading as of march onward, so now Its just finding that balance of criteria for entries, I WILL PASS THIS FUNDED AND I WILL BE LOCKED.</t>
  </si>
  <si>
    <t>Cap fuck boa nice fuckin trade, lil (hopeful) 3.5x on the fuckin account. These shorts im boutta catch gonna feed generations fasho. Hoping to at least get like 2-3 bands off of the memecoins as well. We will see though Im just gonna act in my best accordance and execute flawless and with permissiblity and gumption</t>
  </si>
  <si>
    <t>See SC, aint really shit to say, the fruits of my labor will pay off and its time for me to turn a new leaf in life.</t>
  </si>
  <si>
    <t>PASSED! tW, W</t>
  </si>
  <si>
    <t>I've been locked since 07/09, beyond this I was locked for a month, in terms of actual R (Besides the blown account) has actually be Positive, I was profitable over a meaningful period of time. I WILL NEVER OVER RISK AGAIN, I WILL NEVER EMOTIONALLY TRADE AGAIN. I WILL START WINNING ON A CONSISTENT BASIS, WITH TWO WINNING DAYS A WEEK I COULD BE IMMENSELY PROFITABLE. I HAVE TOUCHED GOD ON HIS SHOULDER SO I KNOW HE IS TOUCHABLE. I AM THIS. I think in utter objectivity, no more blowing accounts, you trade these down to the last fucking dollar. ONCE I am profitable (IE I get a payout) I will start overleveraging the evals to get to the sweet PAs, and never look back. Just passed the funded, My mindset for this PA is to continue doing as I have done this past month and in particular these past two weeks. In the past two weeks I have been able to trade entirely under my strategy, my worst red day was a two trade -2.56R, that was semi thanks to limit order bug. Simply sniping, I have been great, I feel mentally the best i have with trading, and it has always been this easy,</t>
  </si>
  <si>
    <t>2week Return:</t>
  </si>
  <si>
    <t>Sol cooked rip. Imma re-enter longs soon, im thinking XRP short is gonna hit, I exited ts too early but im coming diffy now, Stil extremely shortable. Looking to TP a lot of crypto this cycle, and then get in low to stake.</t>
  </si>
  <si>
    <t>ATF Total Cost:</t>
  </si>
  <si>
    <t>Per Hour:</t>
  </si>
  <si>
    <t>hours:</t>
  </si>
  <si>
    <t>Liabs</t>
  </si>
  <si>
    <t>Student Loans</t>
  </si>
  <si>
    <t>ACCOUNT:</t>
  </si>
  <si>
    <t>Eval-13</t>
  </si>
  <si>
    <t>TOTAL R won:</t>
  </si>
  <si>
    <t>L, RETARD L</t>
  </si>
  <si>
    <t>LONG, SHORT</t>
  </si>
  <si>
    <t>I just broke my streak of utterly objective beautiful trading of two weeks, NEVER AGAIN HOLY FUCK WHAT ARE WE DOING DUDE YOU TAKE A BUNCH OF RETARDLY OVERLEVERAGED BULLSHIT AND YOURE NOT EVEN ATTENTIVE&lt; YOURE AT WORKKKK.</t>
  </si>
  <si>
    <t>PA-2</t>
  </si>
  <si>
    <t>NQ,NQ</t>
  </si>
  <si>
    <t>Net of Debt:</t>
  </si>
  <si>
    <t>DEADASS JUST WASTED $40 , I mean genuinely. Objectivity is not perfection, Objectivety is my system. For me to do this  is out of objectivity. Profitablility is not possible without this in any case. Idek I did that and then say reprimand myself. Its hard cuz i want to gamble but I dont wnat to lose.</t>
  </si>
  <si>
    <t>W, BE</t>
  </si>
  <si>
    <t>Notes in SC. Im ready to get into TS 5 days a week. I need to run up a generational bag doing ts SOON. This is just the start. I have inherent self-doubt but I simply act objectively and succeed.</t>
  </si>
  <si>
    <t>PA-2 (Eval-14)</t>
  </si>
  <si>
    <t>ES, NQ, (YM)</t>
  </si>
  <si>
    <t>BE, W , (W)</t>
  </si>
  <si>
    <t>SHORT, LONG, (SHORT)</t>
  </si>
  <si>
    <t>Eval-14</t>
  </si>
  <si>
    <t>idk</t>
  </si>
  <si>
    <t>L, W</t>
  </si>
  <si>
    <t>got 4 days on PA-2</t>
  </si>
  <si>
    <t>need 4 more and 4 R profit, hopefully two -2R days and 3 4R days</t>
  </si>
  <si>
    <t>Eval-12</t>
  </si>
  <si>
    <t>PA-2 (Eval14)</t>
  </si>
  <si>
    <t>NQ, (NQ)</t>
  </si>
  <si>
    <t>LONG, (LONG)</t>
  </si>
  <si>
    <t>4 Winning days in a row lets go</t>
  </si>
  <si>
    <t>SHORT, SHORT, LONG</t>
  </si>
  <si>
    <t>NO ONE WINS WITHOUT LOSING, BEING A WINNER IS ONE THING, BUT ALSO BEING A GOOD LOSER IS IMPERATIVE. i am god and I live in my best accordance.</t>
  </si>
  <si>
    <t>welp didn’t break my win streak record, someday tho, Im here everyday.</t>
  </si>
  <si>
    <t>retard L, L</t>
  </si>
  <si>
    <t>SHORT,LONG</t>
  </si>
  <si>
    <t>this day right here is the first and only day that I allow dispermissiblity in my trading system ever, I can not be losing more that 2 R on a losing day ever dude. You could've placed a stop or market closed out of the short easily, instead you hold like a retard and let price run up 4R in drawdown, like dawg, you start thinking your god and you will get humbled. the premarket entries on the eval were the same way, how do you think you can just fuck around and then lock in, OVERLEVERAGING EVALS IS NOT THE SAME AS BEING A RETARD. Stops are necessary, hypothesize, but dont over fit price to what you think will happen, i am a REACTIVE trader, we got the smt ob out of market open, ok I am long bias, maybe i dont want thes super discounted pxl shorts, ill wait, ok price retrace to this breaker, 52 candle low, ok ill enter that with permissible risk. like nigga you dont have to lose anymore than you want to. and the we sit jerkin it waiting for shorts and dont even take a god smt htf sibi model, like what are we even doing. You need a day like this to lock you back in, evidently, because you are not him yet, you are net negative quite a bit in every facet of trading, lets lock back in, and never do this again.</t>
  </si>
  <si>
    <t>R=200, 2 loss limit, will is him, this is really</t>
  </si>
  <si>
    <t>a goated system. Idk u gotta fuck around</t>
  </si>
  <si>
    <t>and deviate, the moral of the Friday 08-01</t>
  </si>
  <si>
    <t xml:space="preserve">trade should've been mental stops are </t>
  </si>
  <si>
    <t>ascinine and conductive to failure.</t>
  </si>
  <si>
    <t>so were good now, BE and &lt;1R losses are</t>
  </si>
  <si>
    <t xml:space="preserve">far better than this bs, even if ur winrate was higher </t>
  </si>
  <si>
    <t>this way. Lowkey gotta analyze time again.</t>
  </si>
  <si>
    <t>8:48-9:00</t>
  </si>
  <si>
    <t>Lost 50 on the eval, I gotta stop just retard market entering premarket, it worked once and that’s because you had a model and bias, finna get replikanto going so this wont be an issue any longer. As far as my trading today, genuinely impeccable, EVERY DAY should be like this.</t>
  </si>
  <si>
    <t>PA Net:</t>
  </si>
  <si>
    <t>Initial Risk Taken.</t>
  </si>
  <si>
    <t>Week T:</t>
  </si>
  <si>
    <t>5.75 SL; 8cons</t>
  </si>
  <si>
    <t>I gotta lock in entirely, to be honest. Trading is very nerve racking. I think having SET TPs, and Trailing parameters is a non-negotiable for any trade. I have to think in utter objectivity no matter what, As I am scaling, I don’t have to end on a win, in a live account or even when my PA account balance exceeds such an amount, I can keep trading bankrolls, and catch many Ws in a day, obviously in alignment with permissibility of my risk management system.</t>
  </si>
  <si>
    <t>NQ, ES</t>
  </si>
  <si>
    <t>8:41:00 : 8:52-8:53</t>
  </si>
  <si>
    <t>3 honestly really bad days this week, TODAY was the best only because I SHOULDVE WON, I GOTTA stop SWITCHING up my OVERALL BIAS so much, I can take a trade at anytime anywhere, for any reason, But my schema for the daily profile should be sound, That said I literally called out like 3 long entry models and didnt take one.</t>
  </si>
  <si>
    <t>Win % This week:</t>
  </si>
  <si>
    <t>Average R</t>
  </si>
  <si>
    <t>Average Realized RR</t>
  </si>
  <si>
    <t>ALL</t>
  </si>
  <si>
    <t>NQ. NQ</t>
  </si>
  <si>
    <t>NQ x 5</t>
  </si>
  <si>
    <t>L, L, L, S, S</t>
  </si>
  <si>
    <t>Really really really rough streak atm, I liked the way I traded today BESIDES the fact that I got stopped out break even on that third long, I should PROBABLY wait until the second candle fully forms before trailing BE, this is a soft rule atm but that was such a good entry dude and I should've had like an 8R day because of it, I mean seriously I could've passed the eval and got the PA back out of drawdown range. This is really how a losing day should look though, Despite my losing streak I will never trade out of permissibility again, obviously, I am here everyday, I compartmentalize my day and then come back at night to backtest.</t>
  </si>
  <si>
    <t>SEE SYSTEM ANALYTICS SHEET FROM NOW ON</t>
  </si>
  <si>
    <t>NQ x 4</t>
  </si>
  <si>
    <t>Drl, BE, L, L</t>
  </si>
  <si>
    <t>LONG, LONG,  LONG, SHORT</t>
  </si>
  <si>
    <t>yk maybe ts aint for me, 5 day losing  streak does shit to your mind that needs to be studied, I will simply trade permissibly, if it blows it blows and I'll have to take a break. I just pray to my god to take my pain away.</t>
  </si>
  <si>
    <t>BE, L, L</t>
  </si>
  <si>
    <t>Short, SHORT, LONG</t>
  </si>
  <si>
    <t>Not good man, I REALLY gotta come in next week stupid locked, I am good, price will distribute and I will win, I am going back to the old type of trading that had me WINNING, I am locked and I am not a gambler.</t>
  </si>
  <si>
    <t>NQ x 2</t>
  </si>
  <si>
    <t>Drl, L</t>
  </si>
  <si>
    <t>Sigh, shoulda got BE on the first one, second one is just tough shit, TRADING All time highs basically means trend days are few and far between, mean reverting, range-bound price action, GOTTA protect capital in these market environments, that being said there were plenty of good entries today.</t>
  </si>
  <si>
    <t>Ive deadass just been trading chop, when price is distributing early, I win, when its doing some bullshit, I start losing, you GOTTA protect your capital in unfavorable market conditions, WE GOTTA really basing shit off the daily profile, and the previous days candle is a bigger help in volatility and  distribution.</t>
  </si>
  <si>
    <t>make or break time</t>
  </si>
  <si>
    <t>5 R left.</t>
  </si>
  <si>
    <r>
      <t xml:space="preserve">BE, BE, </t>
    </r>
    <r>
      <rPr>
        <sz val="11"/>
        <color theme="9"/>
        <rFont val="Aptos Narrow"/>
        <family val="2"/>
        <scheme val="minor"/>
      </rPr>
      <t>BE</t>
    </r>
    <r>
      <rPr>
        <sz val="11"/>
        <color theme="1"/>
        <rFont val="Aptos Narrow"/>
        <family val="2"/>
        <scheme val="minor"/>
      </rPr>
      <t>, L,  DrL, BE</t>
    </r>
  </si>
  <si>
    <t>need a win so FUCKING bad FUCK FUCK FUCK FUCK FUCK FUCK FUCK</t>
  </si>
  <si>
    <t>lock tf in dude I NEED ts and IM NOT GONNA STOP.</t>
  </si>
  <si>
    <t xml:space="preserve">NQ x 3 </t>
  </si>
  <si>
    <t>Tw, Tw, DrL</t>
  </si>
  <si>
    <t>Rough day, missed some good models early on, Didn't trail aggressive enough, I really should've had like a 2-3R day. Very sad.</t>
  </si>
  <si>
    <t>VXN/VIX:</t>
  </si>
  <si>
    <t>BE, BE, BE, W, DrL, BE</t>
  </si>
  <si>
    <t>NQ x 6</t>
  </si>
  <si>
    <t>S, S, L, S, L, L</t>
  </si>
  <si>
    <t>This shoulda been like a 15R day minimum, I gotta be catching those shorts, Even if we getting BE twice keep trying, because the market was printing shorts, The catching of the falling knife is fine, But we GOTTA be ok TAKING short continuations on a day like today, and REALLY trying to get BE on any LONG we take in such a manner. It just so happens that the market reversed to equilibrium AFTER i hopped off the charts to take a shit.</t>
  </si>
  <si>
    <t>L, W, badL, L</t>
  </si>
  <si>
    <t>L, S, L, S</t>
  </si>
  <si>
    <t>Its time for me to lock in so hard and start winning as I always should've been.</t>
  </si>
  <si>
    <t>tW, W</t>
  </si>
  <si>
    <t xml:space="preserve">This day EXPLICITLY pointed that one out </t>
  </si>
  <si>
    <t>Shit PA, Shit trade that I took out of it moreover. A couple good models formed and I neglected them and then took an anticipatory ass sped entry unfortunately.</t>
  </si>
  <si>
    <t>DrL, BE, W</t>
  </si>
  <si>
    <t>Long, Long, Long</t>
  </si>
  <si>
    <t>exceeded trailing drawdown rule by $52.1</t>
  </si>
  <si>
    <t>L,DrL, W</t>
  </si>
  <si>
    <t>Short, Short, Long</t>
  </si>
  <si>
    <t>PAYOUT BITCH ASS BOY 3 PROPS AT A TIME NOW FUCK NIGGA</t>
  </si>
  <si>
    <t>#AadabTheeStockBroker91</t>
  </si>
  <si>
    <t>DrL, L</t>
  </si>
  <si>
    <t>(L) Short, Long</t>
  </si>
  <si>
    <t>Income:</t>
  </si>
  <si>
    <t>ATF</t>
  </si>
  <si>
    <t>Precious Metals</t>
  </si>
  <si>
    <t>&lt;--IBRK</t>
  </si>
  <si>
    <t>LONG QBTS was a huge fucking play, it should've been that from the beginning. Actually, this whole quantum trade was shit in the first place and I don’t even particularly want to be in these shorts anymore, I think Ill try to close these positions relatively soon and just try to be more of a buy-side sniper and only short when the oppurtunity is too golden</t>
  </si>
  <si>
    <t>A#4m0#03R#mA</t>
  </si>
  <si>
    <t>APEX LEGENDS</t>
  </si>
  <si>
    <t>Bank Holiday</t>
  </si>
  <si>
    <t>L, BE, DrL</t>
  </si>
  <si>
    <t>Long, Long</t>
  </si>
  <si>
    <t>See SC for notes, rough day.</t>
  </si>
  <si>
    <t>This short was a good model but it was really out of place, we slept liquidity early in the day and it was really set up to look like a bullish trend day, In all honestly me not catching longs in the early am when I saw oppurtunities is terrible. I really gotta be catching longs there, and on tuesday, Wednesday was a shit show but days like tuesday and today gotta be 6R+ days to be honest. I am good, and I will never trade in-permissibly again but I really gotta step back and DUB the FUCK up,  I got a lot on the line no so much in tangible risk but in intangible potential. I have to lock in on this day trading shit and it really shouldn't be shit to me so I can work on my major and my technical skills.  I simply look to god in this relative time of need and pray. I humble myself only before god and the markets.</t>
  </si>
  <si>
    <t>YM, NQ</t>
  </si>
  <si>
    <t>Really bad no good week, I mean fuck price action kinda sucked but I sucked far worse. I should've easily had a 6 R day on Tuesday that would've nullified my losses, my pschology isnt even bad its just shit decision making and trading overall. Obviously starting school has affected me at least a little bit, I just gotta lock in and Figure out how I am going to proceed. I really need at least another round of payouts to keep me afloat but in any case my system performed like dog shit this week so I dont deserve anything. If i fail I will just be back hungrier than ever, But 4k and 5 more PAs would be a dream come true genuinely. In any case I will not trip, trade in-permissibly or anything of the sort I will simply lock in</t>
  </si>
  <si>
    <t>YM</t>
  </si>
  <si>
    <t>Long</t>
  </si>
  <si>
    <t>6 losing DAYS IN A FUCKING ROW HOLY FUCKING AUTISM I CANT TAKE THIS SHIT. I NEED A FUCKING WIN AND I CAN'T MAKE ANY MORE RETARD MISTAKES. I MEAN THIS TUESDAY WAS SOOOOOOOO FUCKING TRASH DUDE YOU ARE NOT HIM FUCK YOUR 3 POINT STOPS I NEED TO WIN  SOOOO BAD FUCK ALL THIS NOISE DUDE EACH DAY IS AN INDEPENDENT VARIABLE. I JUST SIMPLY NEED TO STOP BEING A FUCKHEAD AND TRADE IN UTTER ACCORDANCE WITH my system. I have to get ts man holy fuck I DONT CARE ABOUT ANYTHING ELSE RIGHT NOW JUST THIS. I WILL NOT TIE MY MENTAL HEALTH TO THIS SHIT ANYMORE. I just dont know man, evidently these losing streaks only come about after very bad psychology and also, elation. I dont want to have cyclical psychology, it needs to be fixed. SO, I am not depressed, each day is statistically independent and I WILL win soon AND I WILL NOT BE ELATED AND TALK MY SUCCESS OUT OF EXISTENCE. I GOT MY PARKING SPOT, SCHOOL IS GENIUNELY NOTHING TO ME, SOCIAL CIRCUMSTANCES ARE NO LONGER AN ISSUE FOR ME. I SIMPLY NEED to not be a retard anymore. I mean deadass that second trade was retarded dawg. I cant even believe myself, I know how to trade and read price action and trade on a system yet the last two weeks I have actually turned into a vegetable. I just don't get it man. My system cannot be this inconsistent, it should somewhat converge to something, a win rate around 40% with good average RR, yet I find myself losing 6 days in a row with nothing to show for it. Henceforth I will be raising my stop losses because 3 points stops are retarded, im not there yet. Im no-where, and days where price doesnt want to trend I get caught up bad in the chop and then miss a model and then take a shit model and tilt. I have to defeat this. I just need one win to get me back on my feet. In any case, I am fixed. My system is fixed, and I will be back.</t>
  </si>
  <si>
    <t>Wasn't really fuckin with price today, although there were decent oppurtunites, not TRIPPING AT all I DON’T NEED to trade everyday. I am god and to be honest, I am not worried at all, I need one good day of price and ONE model to get me back on my feet and then I will take over.</t>
  </si>
  <si>
    <t>s</t>
  </si>
  <si>
    <t>Accidental trade, I GOT VERY LUCKY.</t>
  </si>
  <si>
    <t>LETS FUCKING GO BOY LETS FUCKING GET IT I WANT TWO MORE ROUNDS OF PAYOUTS. WE NEEEEEED THIS SHIT LETS PAY FOR SCHOOL GET THE FUCK AHEAD WITH TS AND START SNOWBALLING MOTHER FUCKER.</t>
  </si>
  <si>
    <t>L :( shoulda won a short earlier</t>
  </si>
  <si>
    <t>BE</t>
  </si>
  <si>
    <t>Quantum shorts continue to burn me, the QBTS hedge was decent but to be honest RGTI and IONQ are both just so much more powerful at the moment. I believe that I need to employ all of my capital at the moment, Or at the very least have my cash position less than 25%, this includes shorts. Of course, when vol spikes I have to be weary of not only losing capital in my longs but also employing more capital at good prices for equities. Additionally I NEED TO LOCK THE FUCK IN with my IBRK algo trading environment and volatility strategies. I am an engineer, I will sit at my fucking set up for 10 hours straight until I have someting suspenseful. In any case I have shorted GE and longed CRM at about an12.5% and about 17.5% of 4000 respectively, these have no merit of my own, essentially just tailing shkreli. I also shorted atyr at about a 5% position and made 4%, I will cover that shortly and perhaps exit the other two positions at my discretion, I do need quality longs and shorts though, duh. I also shorted a bit of open, a 2% position, I think this will work out but I dont really care to stay in this for very long, similiar momentum shit stock. In any case I need to do more due dilligence and actually care about my portfolio</t>
  </si>
  <si>
    <t>LLLL</t>
  </si>
  <si>
    <t>RETARD FUCKING DAY HOW ARE we not winning like deadass, I SEE EVERY MODEL IN REAL time I just don’t act AND THEN I take bull shit. I just dk man IM gonna blow these accounts and be so depressed after that. I mean just took that Friday win and spoke my success right out of existence. IT hurts so bad man.</t>
  </si>
  <si>
    <t>PAx2 ; Evalx5</t>
  </si>
  <si>
    <t>This is getting worrisome, I obviously only act in the most optimum way economically. In essence, since that Friday, I have slowly worn out my confidence and feel inept. This is perhaps THE only way I ever see myself blowing a round of fundeds. My baseline should be break even minimum over &gt;=5 trading days. I am simply getting caught up in chop, and have a bad balance between aping and reluctance. Today was too reluctant, and I took a bias too quick, and wouldn't change it back, and then I faded the market at ATH not even emotionally. I mean I thought in my head prior were gonna trend through All time highs, and then I short it anyway. so unintelligent. I am a PROFESSIONAL, this is a DISGRACE. PUT DOWN YOUR FUCKING PHONE WAKE UP BEFORE 8 and lets get it man. Im trying recapture my edge, I am bearish for tomorrow for no particular reason (it's thurs.) I can succeed, this is no different than if in two weeks I bought a new round of evals. My system is so reluctant and inconsistent. I NEED TO INDETIFY PRICE PARAMETERS and have my reluctance meter BASED OFF THAT. PRICE IS FUCKING TRENDING TO SHIT TODAY, I NEED TO APE THE 8:30-9:00. PRICE IS SHITTING ITSELF IN THAT SAME PERIOD, BACK THE FUCK OFF. TODAY, PRICE FORMED AND SMT OB AND THEN SIBIED THROUGH IT, WE ARE MOST DEFINITELY GOING SOMEWHERE TODAY COULDA YAMMED SHORTS ON TS OB OR PXL SIBI IR, THIS WOULDA GOTTEN U A W AND BE. THEN THERE ARE THREE NICE MODELS, LONG ATT LOW TS most discounted 15 BPR SWEEP OB, SUPER BISI BREAKER RETRACE. PXH AM SESH HIGH IR. LITERALY FREE FUCKING MODELS AND PRICE MOOONS TO ATH. I MEAN WTF DUDE I NEED TO LOCK THE FUCK IN AND ONLY TAKE BANGERS HENCEFORTH. I NEED TO EXECERISE MY ENTIRE BRAIN EVERY FUCKING MORNING IM A GOD DAMN PROFESSIONAL. I MEAN TAKING BULLSHIT AND NOT REACHING MY FULL POTENTIAL IS GOING FUCK MY MENTAL OVER SO BAD. I HAVE JUST BEEN A DEPRESSED LITTLE PUSSY FAGGOT THIS ENTIRE 3 week STRETCH. ITS ENTIRELY PSYCHOLOGICAL, no doubt. Fuck the win, YOU NEED TO TURN YOURSELF AROUND MY FRIEND, YOU ARE THE SYSTEM, THIS SHIT IS A GENUINE REFLECTION OF self. I know I haven't been praying to god or living permissibly so I am punished, at the very least I am punishing myself. Fuck the stim brain, lets get this shit. IDGAF ABOUT THESE PAs or EVALS, YOURE MISSING THE BIGGER PICTURE YOU CAN WIPE THESE PROP FIRMS FOR $100000 EACH AND IT WOULDNT EVEN BE SHIT. My system is my system through and through, no matter the drawdown (aside from risk managements shifts of course), my executions would be the same AND day, It has not been like this. I have failed myself and gone back to this primitive more apr-may style approach. I need</t>
  </si>
  <si>
    <t>I mean this is the first time and hopefully last time I ever experience this level of negative variance EVER again, because I cant take it man, its MOST definitely psychology based and price based. Price is shittier than it was in AUG when were bulling back from the Tariff mania, and I am losing confidence by the day. FUCK THIS, doesnt matter if I blow them all and restart, doesnt matter if it were a year from now. I need to trade in a consistent and stringent manner. Essentially. R = 100 right now, I need a win to save this, and I take two trades day day. I could try to save to save a PA, i will think about this now. I wont, I got to see shit thru. Idec bro I feel like I am limiting my own skill set. I just want consistency, stringency, and more life. I sincerely need to rethink everything now, because just like in most anything else I am trying to be the best at, my life projects on, and my endeavors are a reflection of. I am good, I need to realize an edge over a meaningful period of time and scale, then I will be rich, applicable to everything. I will succeed and I must in every aspect of my life.</t>
  </si>
  <si>
    <t>Madison</t>
  </si>
  <si>
    <t>total</t>
  </si>
  <si>
    <t>Total Debt:</t>
  </si>
  <si>
    <t xml:space="preserve">so were looking at </t>
  </si>
  <si>
    <t xml:space="preserve"> &lt;- total cost</t>
  </si>
  <si>
    <t>GENUINELY nuts that the CHEAPEST way I could've done this cost 50 grand.</t>
  </si>
  <si>
    <t>not tripped at all, I just get so sad about my losing streaks in trading SIMPLY because it is ALL I have as far as income is concerned. Sure I Could start a software company or something but that requires capital, I NEED INCOME, income IS NOT investing although it can be, I need day trading payouts, and income from internships and jobs. I have such a clear path ahead of me, work your ass off, make as much money as you can, and try to be at least a top 20 guy and a billion dollar company. I can be fulfilled and rich by this path. I need to get every facet of my life in order now.</t>
  </si>
  <si>
    <r>
      <t xml:space="preserve">In essence I have given myself an arbitrary set of technical parameters (models) times to trade (macro, ATT, market open) and daily biases (HTF levels) to trade on in hopes of a semblance of edge. I really cannot put my whole identity and mindpsace on this hobby, my emotional has been so dirven by these three losing weeks, I need to lock tf in and just realize whats up,  I understand strategizing in these stochastics spaces now, I dont believe beyong transactions costs that I should have any negative edge, and I know I catch daily reversals and continuations profitably. Degradation of my strategy really isn't an issue trading on props, I know i can get paid out in full for a long period of time. These price models truly have no predictive power at all, and everything is stochastic, stacked against me. But if I can outwill the market, and buy the reversal, I can have edge long enough to start wiping these props. I mean fuck I have no more time its been a year. I gotta get ts. ill be in the red soon again with replikanto and all these props. Im gonna get way more comfortable just hopping on and hopping off. Analyzing FOR THAT PARTICULAR TIME I WAS ON WHAT WAS PRESENTED TO ME, i dont want this emotional STIMMY feeling anymore, I just want to be able to say "Price right here is setting up </t>
    </r>
    <r>
      <rPr>
        <b/>
        <sz val="11"/>
        <color theme="1"/>
        <rFont val="Aptos Narrow"/>
        <family val="2"/>
        <scheme val="minor"/>
      </rPr>
      <t>x</t>
    </r>
    <r>
      <rPr>
        <sz val="11"/>
        <color theme="1"/>
        <rFont val="Aptos Narrow"/>
        <family val="2"/>
        <scheme val="minor"/>
      </rPr>
      <t xml:space="preserve"> model here with </t>
    </r>
    <r>
      <rPr>
        <b/>
        <sz val="11"/>
        <color theme="1"/>
        <rFont val="Aptos Narrow"/>
        <family val="2"/>
        <scheme val="minor"/>
      </rPr>
      <t>y</t>
    </r>
    <r>
      <rPr>
        <sz val="11"/>
        <color theme="1"/>
        <rFont val="Aptos Narrow"/>
        <family val="2"/>
        <scheme val="minor"/>
      </rPr>
      <t xml:space="preserve"> confluence and </t>
    </r>
    <r>
      <rPr>
        <b/>
        <sz val="11"/>
        <color theme="1"/>
        <rFont val="Aptos Narrow"/>
        <family val="2"/>
        <scheme val="minor"/>
      </rPr>
      <t>z</t>
    </r>
    <r>
      <rPr>
        <sz val="11"/>
        <color theme="1"/>
        <rFont val="Aptos Narrow"/>
        <family val="2"/>
        <scheme val="minor"/>
      </rPr>
      <t xml:space="preserve"> time component. I believe price parameters are </t>
    </r>
    <r>
      <rPr>
        <b/>
        <sz val="11"/>
        <color theme="1"/>
        <rFont val="Aptos Narrow"/>
        <family val="2"/>
        <scheme val="minor"/>
      </rPr>
      <t>this</t>
    </r>
    <r>
      <rPr>
        <sz val="11"/>
        <color theme="1"/>
        <rFont val="Aptos Narrow"/>
        <family val="2"/>
        <scheme val="minor"/>
      </rPr>
      <t xml:space="preserve"> and it will move to there and I could risk accordingly with a stop there. This is more about me being utterly stringent and consistent with negative emotionality. There is an intuitive part and objectivity part to this all. But at the end of the day I only care about the chances my system has to make money on the charts, day to day, session to session, anything else is irrelevant. I don't give a fuck about my emotions anymore, I dont have to be emotional, i am trading my system. I am objectivity. I am god, I was always god wtf are you on boss, in any case the whole point of this was A. allowing emotions to breach the construct of compartmentalization is so funny to me. genuinely how are you gonna do this for the next 2.5 years with youre current state. I dont even know what I am anymore. just gooned btw, actual retard. I know my sexuality and I know what I have to do, I will not allow my emotion to breach anymore. I am good, this is ONE ASPECT of ONE HOBBY of my life, its time I start coding a bit and see if I Can create some strategies for various market conditions. Its time i work my ass off for a shot at the big leagues in tech and its time I lock in entirely, emotionally, financially, sexually, socially, I am god I never stopped BEING FUCKING GOD. OK I PRAY TO GOD FOR HEALTH AND THAT WHICH IS UNCONTROLLABLE. THE REST IS ME MOTHERFUCKER. I JUST RUIN MY MOOD OVER TRIVIAL THINGS, random health tweaks, homework i started too late, and all that tuition i had to pay. I SIMPLY MOVE FORWARD WITH THE OPTIMUM DECISION MAKING, fuck your mental nigga. stupid shit should not falter my mind, fuck these lectures, I go to CS because there is no reason to skip and for tophat, fuck statistics, I know that shit too well to be going to that dumbass shit. School is nothing and the rest is nothing but all together it is something and I am just trying to figure myself out.</t>
    </r>
  </si>
  <si>
    <t>Just gotta be better. Man</t>
  </si>
  <si>
    <t>Didn’t wake up this day</t>
  </si>
  <si>
    <t>Didn't wake up this day</t>
  </si>
  <si>
    <t>sold</t>
  </si>
  <si>
    <t>PA02 and PA03 remain.</t>
  </si>
  <si>
    <t>cancelled eval 16, 09/28 for 17 and 18 and 10/01 for 19 and 20.</t>
  </si>
  <si>
    <t>ACCIDENTAL FUCK</t>
  </si>
  <si>
    <t>RETARD IF YOURE ON YOUR PHONE YOU ARE NOT FUCKING FAT FINGERING AN ENTRY, IF YOURE NOT LOOKING AT YOUR PHONE, ITS OFF, OK THIS SHIT WILL NEVER HAPPEN AGAIN RETARD.</t>
  </si>
  <si>
    <t>I am god this shit just gotta go MAN  I jus gotta go in every realm of human of human endeavor</t>
  </si>
  <si>
    <t>AM or PM</t>
  </si>
  <si>
    <t>Time</t>
  </si>
  <si>
    <t>BP Monitoring:</t>
  </si>
  <si>
    <t>AM</t>
  </si>
  <si>
    <t>142/86</t>
  </si>
  <si>
    <t>Heart Rate (BPM)</t>
  </si>
  <si>
    <t>Readings (mmHG)</t>
  </si>
  <si>
    <t xml:space="preserve">NO Trade </t>
  </si>
  <si>
    <t>Somehow, I have had the worst month of trading hopefully ever. I d ont even feel llike a dayu trader anymore, each week I don’t win or neglect to trade I just feel like more and more of a failure. All the evals are gone, and if nothing changes the Pas will be gone as well. I was really hoping for at least one more round of payouts, hell I NEED one more round of payouts, but nonetheless. I am a professional and I will not falter. I simply neeed to trade under mysystem until I can realize an edge over a meaningful period of time again. I would say this degradation is a function of poor psychology and unfavorable price action. However, I know I will never quit so I can only try to maintain a quality mindset and not falter. I took some bullshit choppy trades at 11:20 and blew the evals, this is fine I guess because they had to go anyway but I still dont feel great about it. I will continue to act in the most economical way possible and just try to feel better. I will not stop day trading, I just need to have consistency and stringency, I pray i dont have to work any more bullshit jobs but in any case, I willNOT give this hobby/profession any more power than it deserves. i need TO WORK VERY HARD ON A GREAT MANY THINGS AND i WAM NOT DOING THAT ATM. rIGHT NOW, i HAVE ALLERGIES THAT ARE KICKING MY ASS AND MY SLEEP HAS BEEN SHIT. i DONT KNOW WHY IT GETS LIKE THIS, i WAKE UP TIRED ANd groggy and in all hoensty I hate myself and my life. I dont even know. If I had maintained profitability ove rth last month, getting a 4k payout and passing 5 evals, id probably feel better. If id gone out more and socialized and tried to gemore meaningful relationaships Id probably feel better. If i studied as i needed to,,  used chatgpt l;ess, and actually worked towards a career. Id probably feel better. In any case,  Iknow exaactly what is it is that I have to do, even if this is as tochastic processs I can still win while losing. But, alas, I have been losing while losing, in every facet of my life.; I am tired and I simply pray to myself and god to take my pain agway. amaen.</t>
  </si>
  <si>
    <t>143/75</t>
  </si>
  <si>
    <t>pm</t>
  </si>
  <si>
    <t>140/69</t>
  </si>
  <si>
    <t>No tRade</t>
  </si>
  <si>
    <t>Most definitely shook, really good model presented itself at 8:55 and I neglected to take it because it didn't retrace far enough, when the TS/SMT OB present themselves with former candle far larger than the ladder candle, YOU ARE BELOW CE, SMACK A MARKET order jeez man, coulda had +1400 on the PAs, that is literally life changing money right now, I know wtf is up tho, my system is what it is and I cannot be shook anymore, I will buy more evals as they get cheaper but in reality I just need one good trade to get me back on my feet genuinely. signing off for today, Adam.</t>
  </si>
  <si>
    <t>PM</t>
  </si>
  <si>
    <t>136/73</t>
  </si>
  <si>
    <t>136/88</t>
  </si>
  <si>
    <t>There is no doubt im shook right now, I mean a month of losing straight would do that to anyoibne, but I STILL HAVE TWO Pas, this is HUGEEE&gt; I NEED to smack a banger model and get back on my feet. Today, I hopped on quite late, around 9, cold've caught longs, but there was no concret model, however in this space, you will not always get such mdoels, I wanted shorts erroneously, had I wanted longs, the 9:09 wick would've provided a VERY good entry. In any case. Im still here.</t>
  </si>
  <si>
    <t>154/74</t>
  </si>
  <si>
    <t>Im not tripping at all, BUT IM ALSO NOT GONNA GET  FUCKING COMPLACENET HERE, GET YO WEAK ASS UP AND HOP ON THE CHARTS EVERYFUCKING MORNING YOU DON’T GOT THE TIME FOR THIS SHIT.</t>
  </si>
  <si>
    <t>147/71</t>
  </si>
  <si>
    <t>Am</t>
  </si>
  <si>
    <t>138/71</t>
  </si>
  <si>
    <t>comin diffy na, NO more late wake ups, im up 745 every day and Imma get everything hollistically, I HAVE NEVER BEEN MORE PRIME THAN MY CURRENT STATE AND I AM ON AN UPTREND. If I had a girlfriend, I was profitbly trading, and I had professional career going id be immensely happy.</t>
  </si>
  <si>
    <t>PAx2.</t>
  </si>
  <si>
    <t>aye man we will see.</t>
  </si>
  <si>
    <t>l</t>
  </si>
  <si>
    <t>meh</t>
  </si>
  <si>
    <t>fuck man fuck trading so hard mann fucasdmknqaioefghbq3efn</t>
  </si>
  <si>
    <t>3re7</t>
  </si>
  <si>
    <t>Im coming diffy in every regard. I am going to be the best pure PA trader I can be and not let it affect any other aspect of my money management.</t>
  </si>
  <si>
    <t>FOR ANY GIVEN POSITION, It HASSS to BE justified at ALLLL TIMES. I need to be more NIMBLE as well. I mean diamond handing this quantum short has been detrimental to my alpha, I mean without quantum I am up so much more. Like 1500 more, that’s such a significant return. This doesnt I am done with the short side of things, but the qbts trade was retarded and i am literally telling myself i have no conviction in this trade these stocks look like they are about to run. I will be far more nimble and just better overall. Its fine to hedge myself, limit my longside in this bull market MARGINALLY, i want short exposure in my portfolio, I just cannot be diamond handing retail autism momentum with no SL and wrecking my account. I will be better. I enjoy all of my positions now. Telo is a little reatrded but its kind of a moon shot. QCom is also kind of the shittiest semi conductor exposure i could have, amd, nvda, arm, mvrl were probably better buys. but qcom snap dragon chips are nice. I should model that company. in any case,  Ihave to just continually update the parameters that govern my pi*, and really make some bread with this market shit man, i cant be working on anyone elses timin man.</t>
  </si>
  <si>
    <t>Essentially, I need to be utterly locked, yes. But I HAVE TO BE ATTENTIVE, I need to see every oppurtunity, and Identify them in the moment, I must be locked.</t>
  </si>
  <si>
    <t>Notrade</t>
  </si>
  <si>
    <t>accidental Long, short</t>
  </si>
  <si>
    <t>100 ish</t>
  </si>
  <si>
    <t>boutta get my swagger back fr fr, ts had me depressed for so long I just gotta rejoice in the fact that I have sooo much more going for me in life. MASHALLAH MORE LIFE.</t>
  </si>
  <si>
    <t>Really gonna try to lock in on my investing/trading account, I'm thinking I should really get liquid on my SOL on the next run up and then try to snipe a really good entry basis after that,  additionally I am hoping I can get a really good short entry on the next run up. I'm thinking that cs2 and pokemon are both in bubbles but these more hobbies to me than anything, Ideally combined, at the current prices, this owuld be like max 15% of my port. Of course at lower prices I will go in but as it stands it seems like these markets are just chugging along.</t>
  </si>
  <si>
    <t>BE, L</t>
  </si>
  <si>
    <t>Eval</t>
  </si>
  <si>
    <t>none</t>
  </si>
  <si>
    <t>N/A</t>
  </si>
  <si>
    <t>First trade was good, second was dogshit, just really hard, and Like if were just chopping I gotta just hop off, I got a good entry off of some vol and then we just went back to chopping, take yo BE and get off twin too much time to spend on imposing structure on a SDE that is governed by randomness.</t>
  </si>
  <si>
    <t>Eval 21</t>
  </si>
  <si>
    <t>NQ, YM</t>
  </si>
  <si>
    <t>Short, Long</t>
  </si>
  <si>
    <t xml:space="preserve">BLOWN </t>
  </si>
  <si>
    <t>RETARDDDDDDD</t>
  </si>
  <si>
    <t>This wont get logged in SYSTEM analytics BECAUSE THIS ISNT MY SYSTEM, THIS IS GAMBLING RETARDATION, WHY THE FUCK WOULD YOU DO THIS. I jus don’t know man. Im outta fuckin money and I just blow a god damn funded like this, FUCKING DEPLORABLE. Any tangible account has to be traded under my system, that means with a fucking STOP LOSS THAT ISNT 10 R. I just piss myself off man. I have my two PAs but my psychology is all fucked up right now, AND WHY WOULDNT IT BE I HAVE BEEN FUCKING SELLING. im not trading them til i feel better about my shit. and regard one is .75 R away from blown, probably closer. its just cooked man. I Just gotta snipe a trend entry with that no draw down, probably wont happen but ill try. idk man I just started selling so fucking bad bro.</t>
  </si>
  <si>
    <t>Eval 22</t>
  </si>
  <si>
    <t>shits actually sad bro I havent won in like 2 months, I am right two times I just get stop loss ran bad.</t>
  </si>
  <si>
    <t>EVAL</t>
  </si>
  <si>
    <t>YM, NQ x 5</t>
  </si>
  <si>
    <t>its like bro I cant even.  Wake up at 8:36 take a decent entry and then spam enter on NQ like I just piss my self off man. There isnt even shit to say. Risk management. Model based entering. Trading a system. Idk I just turned into a retard and then REALLY TURNED INTO A RETARD. No matter how muhc im losing I cant deviate bro. Idek. Ill be back next week but this is just hanus.</t>
  </si>
  <si>
    <t>actually havent won in 2 months btw. This is uncanny. Obviously a psych issue from having too many accounts and starting school. There is nothing to say, I know whats up and I cant pay ts too much mind any more. I DON’T WANNA HAVE TO WORK FULL TIME FOR 10k next summer or part time over the school year for similar cash. THIS WAS MY ALTERNATIVE. AT LEAST DONT BE A RETARD WHILE DOING IT, YOURE A FUCKING PROFESSIONAL. im not gonna sit here and lecture myself anymore. just stop selling.</t>
  </si>
  <si>
    <t>No trade</t>
  </si>
  <si>
    <t>today I am a loser, do what you say you're going to do and what you want to do. I mean I am so deplorable it's just sad. I'm gonna go take this midterm. Hopefully get over an 85, and just stay locked. I piss myself off so bad.</t>
  </si>
  <si>
    <t>Just got my new phone, hype. I need to rotate around 1400 to pay shi off and live off of, no biggie, this next semester of tuition is gonna suck dick but I just gotta stack my pape and maybe look at working at that verizon store would be nice. In any case I simply make the best decision at every turn.</t>
  </si>
  <si>
    <t>Just bought some cure in the Roth off this massive dip because of FDA backlash, looking to buy some more spruce and maybe get some short action on CAPR for q425 -q126 data.Still gotta get liquid on the CS skins I don’t want, I want to let them pump a bit more, in any case I have to get my mom that money and pay off my credit card, I reckon ill get at least 700 from the skins and then will hvae to get 700 elsewhere, I think I might have to part with some crypto despite wanting to sell at a much higher price.</t>
  </si>
  <si>
    <t>BE, BE</t>
  </si>
  <si>
    <t>summed it up well in my execution screenshot but first W since my autism slump, idek, I will not give this shit back tho im back on my system, its TIME TO MAKE SOME FUCKING BREAD SO I DON’T HAVE TO WORK RETARD JOBS ANYMORE&gt;</t>
  </si>
  <si>
    <t>Fucking gay man I NEED TO BE CATCHING THIS WHOLE DOWN MOVE BRO FUCKK THAT IS LITERALLY MY EVAL PASSED.</t>
  </si>
  <si>
    <t>tW, BE, BE</t>
  </si>
  <si>
    <t>Missed really good shorts on open, took a some decent longs but really couldn't get the job done, I am fucking back though believe that, no more bullshit I am objectivity my system will prevail. I will reach and maintain sustinence from day trading props, while never giving it too much power and developing most every other facet of my life.</t>
  </si>
  <si>
    <t>Eval 22, PA 3</t>
  </si>
  <si>
    <t>Short, Long, Short</t>
  </si>
  <si>
    <t>I really gotta put more time into my research and over positioning, this will never not be the case I need to just dive in at this point. In any case this entry pertains to my retard trade on CAPR, I bought $1 11/21 puts, genuinely just burnt 42 dollars, Its not about the money this is just a retarded position. I don't even think I'll be able to sell these contracts so this is just unfortunate. Essentially data will be released in the following weeks, martin said that data is probably not released tonight, I had absolutely no reason to trade this at all. I'd love to short common but it's a  hard borrow. Idek many its just dumb. Im gonna try to sell those and take a position in a halfway decent manner in the following weeks. I need to be so utterly stringent with my trading, especially with my own capital.</t>
  </si>
  <si>
    <t>DrL</t>
  </si>
  <si>
    <t>NQ, YM(eval only, NQ</t>
  </si>
  <si>
    <t>BE, BE, BE</t>
  </si>
  <si>
    <t>Long, Short, Long</t>
  </si>
  <si>
    <t>Eval 22, (PA 3)</t>
  </si>
  <si>
    <t xml:space="preserve">PA3 585 from blown. I gotta lock in. </t>
  </si>
  <si>
    <t>Short, Long, Long, Long, Long</t>
  </si>
  <si>
    <t>Opened tis avxl short, capr puts WERE FUCKING RETARDED YOU KNOW OPTIONS THINK CRITICALLY DAWG U JUST GOT SOME DUDE LIQUID OFF OF WORTHLESS FUCKING OPTIONS. Overall though looking to close crypto asap, close quantum asap, roto some capital to fidelity and some cash to prep for school year. keep acting with optimal decision making. I HAVE TO GET THIS PAYOUT BRO FUCKKKKKKKK, 11/13 not a terrible day but i hate losing an R and yk i really shoulda been winning past coupla days and I prayed for this in my max pain era but I really need more I will get more amen.</t>
  </si>
  <si>
    <t>Ok im looking to get liquid to pay some debt and free up credit. I could sell 4 cs skins and make $905, I imagine those could keep going though, I am thinking I like this better than selling my crypto low, I do think we will get another crypto bull market, that is bitcoin will settle at 120-150 before 2030, So id like to stay long, Although, Selling at high prices IS NEVER a bad thing, I will definitely trty to open a blofin long at these lervels no doubt. And I will start taking partials to be honest, because IDK wtf is gonna happen all i know is if something is cheap or not. And so thats that I think Ill sell these counter strike skins apy mom 300 and pay off some debt. just put em up for listing, in the meantime ill look to get cash, 150-200, for intermediate needs. selling da silver for $40 dollar profit.</t>
  </si>
  <si>
    <t>PASSED! W</t>
  </si>
  <si>
    <t>Ill damn near just rrade 1 eval PA4 and PA3 together and see how that goes, my trading will be unimpeachable, and it will not deviate from the last two weeks, I trade the exact same no matter what is on the line</t>
  </si>
  <si>
    <t>Total</t>
  </si>
  <si>
    <t>PA 2,3,4</t>
  </si>
  <si>
    <t>idk what to say, PA2,3 are GONE</t>
  </si>
  <si>
    <t>Yea I ended up trading all three Pas and losing two PAs, very sad, two more evals run itback, RISK MANAGEMENT ON POINT RIPPING BANGERS, THAT’S ALL TS IS.</t>
  </si>
  <si>
    <t>trading is function of emotion and routine. I slump so hard, I need to win against myself man, because even if I don’t win in the real world I can win against myself. Genuinely that Monday threw me off, I wasn’t outright depressed but one bad morning and my week is shot, I have slept so fucking much in the past 3 days and it is because of my routine, this aint gonna work chief i gotta switch up my cyrcadian. idek bro its so dumb idec care about shit anymore just let me lock in.</t>
  </si>
  <si>
    <t>I just steady pray to myself and god</t>
  </si>
  <si>
    <t>please be betta mane</t>
  </si>
  <si>
    <t>PA 4, eval x 2</t>
  </si>
  <si>
    <t>I havent been this fucking depressed SINCE LAST YEAR and IT’S A PRODUCT OF MANY THINGS, IN ANY CASE WHEN YOU GO TO STIMMY SPAM ENTRY, YOU GET WHAT HAPPENED ON MONDAY, WHEN YOU GET RELUCTANCE, YOU GET WHAT HAPPENED TODAY, I NEED TO DE FUCKING RISK RETARDED NIGGER FUCK AND GET BACK TO IT, I AM SO DEADASS IM TRADING 3 MICROS TOMORROW.</t>
  </si>
  <si>
    <t>This was the worst week of my life, I CANT DO THIS SHIT ANYMORE.</t>
  </si>
  <si>
    <t>Do you see the stark difference in returns when the pa is activated? I mean wtf man ts is all psychological.</t>
  </si>
  <si>
    <t>BE, BE, L</t>
  </si>
  <si>
    <t>Turkey day</t>
  </si>
  <si>
    <t>Ts piss me off so bad overall this is a day where ICANNOT BE LOSING, I am RIGHT  about the market and 80% of my trades where I am right I should be yamming but I just sell instead.</t>
  </si>
  <si>
    <t>Eval 23</t>
  </si>
  <si>
    <t>Literally retarded, I am allowed to overleverage but not just spam enter monkey brain, if I woulda just waited a bit or just lowered risk and set stops at the high Ida passed the fucking account.</t>
  </si>
  <si>
    <t>PA 4, eval</t>
  </si>
  <si>
    <t>Bad price action and woke up late, idrc anymore man I just be trading and shit I need to just let go and genuinely let ts go and just go wit shi mane fuck it I know everything.</t>
  </si>
  <si>
    <t>L, BE, Tw, Tw</t>
  </si>
  <si>
    <t>L, BE, L, BE, L</t>
  </si>
  <si>
    <t>L, L, S, S, S</t>
  </si>
  <si>
    <t>cool bro just blow 3 PAs in a month and sell ruself, fuckin eh man.</t>
  </si>
  <si>
    <t>Eval 25</t>
  </si>
  <si>
    <t>long, long, long</t>
  </si>
  <si>
    <t>not logging this day in system anal fuck it</t>
  </si>
  <si>
    <t>L, BE, L, tW</t>
  </si>
  <si>
    <t>Gen Term.</t>
  </si>
  <si>
    <t>L, tW, BE, Bad L</t>
  </si>
  <si>
    <t>Short, Long, Short, Long</t>
  </si>
  <si>
    <t>retard trade to end it idk why I doubled down on that shi man.</t>
  </si>
  <si>
    <t>NQ * 3</t>
  </si>
  <si>
    <t>badL, Accidental, tW</t>
  </si>
  <si>
    <t>NQ x 7</t>
  </si>
  <si>
    <t>BE, BadL, L, BE, L, L, W</t>
  </si>
  <si>
    <t>L, L, L, L, L, L, S</t>
  </si>
  <si>
    <t>Short, Long, Long, Long, Short</t>
  </si>
  <si>
    <t>No</t>
  </si>
  <si>
    <t>RETARD RETARD RETARD</t>
  </si>
  <si>
    <t>L, W, L, BE, BE, WORST L</t>
  </si>
  <si>
    <t>Eval 26</t>
  </si>
  <si>
    <t>No more autism I deviate NOT from my system.</t>
  </si>
  <si>
    <t>Short, Short</t>
  </si>
  <si>
    <t>NQ x  5</t>
  </si>
  <si>
    <t>tW, BE, BE, BE, L,  L, BE</t>
  </si>
  <si>
    <t>chrismas</t>
  </si>
  <si>
    <t>Short, Short, Long, Short</t>
  </si>
  <si>
    <t>L, DrL, L, BE</t>
  </si>
  <si>
    <t>let me start cookin again and catch trend moves on PAs... Make sum actual fuckin bread here and make ts worth it.</t>
  </si>
  <si>
    <t>BE, L, DrL, tW</t>
  </si>
  <si>
    <t>Short, Long, Long, Long</t>
  </si>
  <si>
    <t>Port:</t>
  </si>
  <si>
    <t>Longs:</t>
  </si>
  <si>
    <t>Shorts:</t>
  </si>
  <si>
    <t>ABVX</t>
  </si>
  <si>
    <t>CRM</t>
  </si>
  <si>
    <t>AMZN</t>
  </si>
  <si>
    <t>AVXL</t>
  </si>
  <si>
    <t>BHVN</t>
  </si>
  <si>
    <t>KRNKF</t>
  </si>
  <si>
    <t>META</t>
  </si>
  <si>
    <t>NVDA</t>
  </si>
  <si>
    <t>QURE</t>
  </si>
  <si>
    <t>SPRB</t>
  </si>
  <si>
    <t>TELO</t>
  </si>
  <si>
    <t>UNH</t>
  </si>
  <si>
    <t>took a shot for it all and missed passing the eval by a point. Sadness</t>
  </si>
  <si>
    <t>I will deadass never deviate from my system again, these MAJOR deviation to the downside days are what fuck me, if I only buy 90% off Pas, define my risk management EVERYDAY WITHOUT FAIL, and trade within my system, terminally I will get paid out again. I mean THIS IS A SOLVED GAME FOR ME I JUST HAVE TO ACT.</t>
  </si>
  <si>
    <t>New year nigga</t>
  </si>
  <si>
    <t>deadasma ronny I gotta lock tf in, trading is a solved game, had I not shit the bed Id probably have gotten paid out again, real shit man you got hot, started trading 2 Pas and 5 Evals, started school, got shook and shit the bed, need to step back and NOT bleed two PAs away in that situation, THEN post bleed I pass another eval, then make probably the worst sequence of decisions possible and blow 1800 in actual trading capital, then a -5R day and blowing an eval at 51000, like these three days FUCKED ME. NEVER AGAIN will I allow this, I AM ALLOWING THESE THINGS TO OCCUR. I AM A MATH ORIENTed guy but the APPEAL of DAY TRADING for SUPPLEMENTAL income WILL NEVER NOT BE ATTRACTIVE. THIS IS A SOLVED GAME I JUST NEED TO realize the fruits of my effort and act in accordance with my system, that is all. Discounted evals, bangers trades, frequent breakevens, CAPPED LOSSES AND UNCAPPED WINS, and this will all be worth it, at the end of the day, this is just some shit I do for &gt;100 minutes a day and it should GET EASIER AND EASIER and take up LESS AND LESS mental capital. That is all, it's solved, I believe with discounted accounts I have  EDGE over these prop firms and I WILL REALIZE it.</t>
  </si>
  <si>
    <t>I should BE PASSING a quarter of my Evals and GETTING PAID OUT ON A QUARTER OF Pas, IF THIS IS THE CASE AND I PAY LESS THAN 125 PER ACCOUNT ALL-IN, I HAVE EDGE.</t>
  </si>
  <si>
    <t>Payouts:</t>
  </si>
  <si>
    <t>COGS:</t>
  </si>
  <si>
    <t>Prop Accs:</t>
  </si>
  <si>
    <t>Replikanto:</t>
  </si>
  <si>
    <t>Mentor:</t>
  </si>
  <si>
    <t>Tradingview:</t>
  </si>
  <si>
    <t>Net</t>
  </si>
  <si>
    <t>WERE STILL POSITIVE DESPITE THE HARDSHPSSSS, LETS START RINSING THESE FUCKING PROPS.</t>
  </si>
  <si>
    <t xml:space="preserve">tW, tW </t>
  </si>
  <si>
    <t>calm day</t>
  </si>
  <si>
    <t>CRVS</t>
  </si>
  <si>
    <t>138/82</t>
  </si>
  <si>
    <t>am</t>
  </si>
  <si>
    <t>BE, L, BE, DrL, BE, L</t>
  </si>
  <si>
    <t>L, S, L, L, L, L</t>
  </si>
  <si>
    <t>Pretty shit day, too many longs and bad decisions and trading in poor price action. I gotta be better man.</t>
  </si>
  <si>
    <t>Thankfully im privy to all and 50k isnt THAT much. I will have only 33k in debt, the interest rates are high enough for me to want them GONE, so I can easily pay this off in 1-2 years, THIS IS NOT ACCOUNTING FOR THE FACT THAT IF I HAVENT ACCUMULATED AT LEAST 100k IN PAYOUTS AND AT LEAST 15% ANNUALIZED RETURN ON MY MONEY BY 2028, THeN I HAVE FAILED MYSELF.</t>
  </si>
  <si>
    <t>Symbol</t>
  </si>
  <si>
    <t>Quantity</t>
  </si>
  <si>
    <t>Last</t>
  </si>
  <si>
    <t>$ Chg</t>
  </si>
  <si>
    <t>% Chg</t>
  </si>
  <si>
    <t>Volume</t>
  </si>
  <si>
    <t>$ Day G/L</t>
  </si>
  <si>
    <t>% Day G/L</t>
  </si>
  <si>
    <t>$ Total G/L</t>
  </si>
  <si>
    <t>% Total G/L</t>
  </si>
  <si>
    <t>Value</t>
  </si>
  <si>
    <t>% of Acct</t>
  </si>
  <si>
    <t>Basis</t>
  </si>
  <si>
    <t>Day Range</t>
  </si>
  <si>
    <t>52W Range</t>
  </si>
  <si>
    <t>Earnings Date</t>
  </si>
  <si>
    <t>Div Amt</t>
  </si>
  <si>
    <t>Div Ex-Date</t>
  </si>
  <si>
    <t>10.65-11.46</t>
  </si>
  <si>
    <t>7.48-44.28</t>
  </si>
  <si>
    <t>Mar-2-2026</t>
  </si>
  <si>
    <t>--</t>
  </si>
  <si>
    <t>23.14-24.10</t>
  </si>
  <si>
    <t>7.76-71.50</t>
  </si>
  <si>
    <t>Feb-25-2026</t>
  </si>
  <si>
    <t>643.50-664.39</t>
  </si>
  <si>
    <t>479.80-796.25</t>
  </si>
  <si>
    <t>Jan-27-2026</t>
  </si>
  <si>
    <t>Dec-15-2025</t>
  </si>
  <si>
    <t>Cash (SPAXX)</t>
  </si>
  <si>
    <t>0.00-0.00</t>
  </si>
  <si>
    <t>3.40-4.13</t>
  </si>
  <si>
    <t>Nov-3-2025</t>
  </si>
  <si>
    <t>86.85-90.99</t>
  </si>
  <si>
    <t>4.28-240.00</t>
  </si>
  <si>
    <t>Apr-13-2026</t>
  </si>
  <si>
    <t>132.61-138.69</t>
  </si>
  <si>
    <t>4.77-148.83</t>
  </si>
  <si>
    <t>Sep-8-2025</t>
  </si>
  <si>
    <t>224.70-235.46</t>
  </si>
  <si>
    <t>161.38-258.60</t>
  </si>
  <si>
    <t>Feb-4-2026</t>
  </si>
  <si>
    <t>3.50-3.71</t>
  </si>
  <si>
    <t>2.86-14.25</t>
  </si>
  <si>
    <t>Feb-10-2026</t>
  </si>
  <si>
    <t>7.16-7.78</t>
  </si>
  <si>
    <t>2.54-9.60</t>
  </si>
  <si>
    <t>Mar-23-2026</t>
  </si>
  <si>
    <t>KRKNF</t>
  </si>
  <si>
    <t>4.75-4.96</t>
  </si>
  <si>
    <t>1.40-5.48</t>
  </si>
  <si>
    <t>188.26-192.93</t>
  </si>
  <si>
    <t>86.62-212.19</t>
  </si>
  <si>
    <t>Feb-24-2026</t>
  </si>
  <si>
    <t>Dec-4-2025</t>
  </si>
  <si>
    <t>252.48-265.38</t>
  </si>
  <si>
    <t>221.96-367.09</t>
  </si>
  <si>
    <t>Dec-18-2025</t>
  </si>
  <si>
    <t>1.3105-1.40</t>
  </si>
  <si>
    <t>1.12-5.40</t>
  </si>
  <si>
    <t>Feb-2-2026</t>
  </si>
  <si>
    <t>327.50-340.26</t>
  </si>
  <si>
    <t>234.60-606.36</t>
  </si>
  <si>
    <t>Dec-8-2025</t>
  </si>
  <si>
    <t>cash:</t>
  </si>
  <si>
    <t xml:space="preserve">margin: </t>
  </si>
  <si>
    <t>net:</t>
  </si>
  <si>
    <t>gross exposure:</t>
  </si>
  <si>
    <t>01/03/26: this the worst trading day I EVER had and it is so tragic because I went for it all on a terrible trade and a candle later I couldve had it all, then I bled this PA away and sold another 51k eval, I deadass have no more time for this shit I need to just lock the actual fuck in its so pitiful how i conducted my system since the school year started. I am obviously gonna work thru the summer i am applying to badger bros again and ALL cell providers in madison, i really shoulda went and worked at black hawk but its whatever now. I jus gotta lock myself in but its tough.</t>
  </si>
  <si>
    <t>Tangem Wallet :</t>
  </si>
  <si>
    <t>NQx3</t>
  </si>
  <si>
    <t>L, BE, L</t>
  </si>
  <si>
    <t>filler day, sigh.</t>
  </si>
  <si>
    <t>Goated PA I just be sellin mane</t>
  </si>
  <si>
    <t>BE, BE, DrL, idek</t>
  </si>
  <si>
    <t>Long, Short, Short, Long</t>
  </si>
  <si>
    <t>retard day idek ill take the win it was bailed asl tho.</t>
  </si>
  <si>
    <t>this is gonna be it for a while. I really should've just broke even and kept trying but I knew this was gonna be an all-in day. I will only be buying evals @ 90% off. Overall this journey of day trading was not all for not, I enjoyed it and I do wish it went better but thats ok i tried.</t>
  </si>
  <si>
    <t>Ill be back someday but I cant be buying eval+PAs that are over like $90 all in, I really should've kept this one till the 22nd, getting every last drop out of each and every account no matter what, but I want to rid myself of this burden that is day trading and do something else for a while, in between APEX discounts is a great cool down and its time for me to contribute greatly to other parts of my life. I love you Adam and this was an arduous journey with no real monetary gain, I may purport to other people a decent success but overall disinclination to day trading but in reality this sport was never something that fit my skill set and quite honestly goes against it. I am hoping to liberate myself and become a much better person. This journey is not over, and I am more than happy to buy a discounted eval in a more favorable regime and stack a couple PAs, but trading every day and peseverating about the market in this fashion is no good for anyone.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</si>
</sst>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7" formatCode="&quot;$&quot;#,##0.00_);\(&quot;$&quot;#,##0.00\)"/>
    <numFmt numFmtId="8" formatCode="&quot;$&quot;#,##0.00_);[Red]\(&quot;$&quot;#,##0.00\)"/>
    <numFmt numFmtId="164" formatCode="&quot;$&quot;#,##0"/>
    <numFmt numFmtId="165" formatCode="0.0000"/>
    <numFmt numFmtId="166" formatCode="0.000"/>
    <numFmt numFmtId="167" formatCode="&quot;$&quot;#,##0.00"/>
  </numFmts>
  <fonts count="19" x14ac:knownFonts="1">
    <font>
      <sz val="11"/>
      <color theme="1"/>
      <name val="Aptos Narrow"/>
      <family val="2"/>
      <scheme val="minor"/>
    </font>
    <font>
      <b/>
      <i/>
      <sz val="11"/>
      <color theme="1"/>
      <name val="Aptos Narrow"/>
      <family val="2"/>
      <scheme val="minor"/>
    </font>
    <font>
      <i/>
      <sz val="11"/>
      <color theme="1"/>
      <name val="Aptos Narrow"/>
      <family val="2"/>
      <scheme val="minor"/>
    </font>
    <font>
      <u/>
      <sz val="11"/>
      <color theme="10"/>
      <name val="Aptos Narrow"/>
      <family val="2"/>
      <scheme val="minor"/>
    </font>
    <font>
      <sz val="11"/>
      <name val="Aptos Narrow"/>
      <family val="2"/>
      <scheme val="minor"/>
    </font>
    <font>
      <sz val="11"/>
      <color rgb="FFFF0000"/>
      <name val="Aptos Narrow"/>
      <family val="2"/>
      <scheme val="minor"/>
    </font>
    <font>
      <b/>
      <sz val="11"/>
      <color theme="1"/>
      <name val="Aptos Narrow"/>
      <family val="2"/>
      <scheme val="minor"/>
    </font>
    <font>
      <b/>
      <sz val="11"/>
      <name val="Aptos Narrow"/>
      <family val="2"/>
      <scheme val="minor"/>
    </font>
    <font>
      <b/>
      <sz val="11"/>
      <color rgb="FFFF0000"/>
      <name val="Aptos Narrow"/>
      <family val="2"/>
      <scheme val="minor"/>
    </font>
    <font>
      <b/>
      <sz val="11"/>
      <color theme="9"/>
      <name val="Aptos Narrow"/>
      <family val="2"/>
      <scheme val="minor"/>
    </font>
    <font>
      <b/>
      <sz val="11"/>
      <color rgb="FFC00000"/>
      <name val="Aptos Narrow"/>
      <family val="2"/>
      <scheme val="minor"/>
    </font>
    <font>
      <b/>
      <i/>
      <u/>
      <sz val="11"/>
      <color theme="1"/>
      <name val="Aptos Narrow"/>
      <family val="2"/>
      <scheme val="minor"/>
    </font>
    <font>
      <sz val="11"/>
      <color theme="9" tint="0.59999389629810485"/>
      <name val="Aptos Narrow"/>
      <family val="2"/>
      <scheme val="minor"/>
    </font>
    <font>
      <b/>
      <sz val="11"/>
      <color rgb="FF0070C0"/>
      <name val="Aptos Narrow"/>
      <family val="2"/>
      <scheme val="minor"/>
    </font>
    <font>
      <sz val="11"/>
      <color theme="9"/>
      <name val="Aptos Narrow"/>
      <family val="2"/>
      <scheme val="minor"/>
    </font>
    <font>
      <b/>
      <sz val="11"/>
      <color theme="9" tint="0.59999389629810485"/>
      <name val="Aptos Narrow"/>
      <family val="2"/>
      <scheme val="minor"/>
    </font>
    <font>
      <b/>
      <sz val="11"/>
      <color theme="9" tint="0.39997558519241921"/>
      <name val="Aptos Narrow"/>
      <family val="2"/>
      <scheme val="minor"/>
    </font>
    <font>
      <b/>
      <sz val="11"/>
      <color rgb="FF00B0F0"/>
      <name val="Aptos Narrow"/>
      <family val="2"/>
      <scheme val="minor"/>
    </font>
    <font>
      <b/>
      <sz val="11"/>
      <color theme="9" tint="0.79998168889431442"/>
      <name val="Aptos Narrow"/>
      <family val="2"/>
      <scheme val="minor"/>
    </font>
  </fonts>
  <fills count="6">
    <fill>
      <patternFill patternType="none"/>
    </fill>
    <fill>
      <patternFill patternType="gray125"/>
    </fill>
    <fill>
      <patternFill patternType="solid">
        <fgColor rgb="FFC00000"/>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7">
    <xf numFmtId="0" fontId="0" fillId="0" borderId="0" xfId="0"/>
    <xf numFmtId="4" fontId="0" fillId="0" borderId="0" xfId="0" applyNumberFormat="1"/>
    <xf numFmtId="3" fontId="0" fillId="0" borderId="0" xfId="0" applyNumberFormat="1"/>
    <xf numFmtId="16" fontId="0" fillId="0" borderId="0" xfId="0" applyNumberFormat="1"/>
    <xf numFmtId="0" fontId="1" fillId="0" borderId="0" xfId="0" applyFont="1"/>
    <xf numFmtId="0" fontId="2" fillId="0" borderId="0" xfId="0" applyFont="1"/>
    <xf numFmtId="0" fontId="0" fillId="0" borderId="0" xfId="0" applyAlignment="1">
      <alignment horizontal="center"/>
    </xf>
    <xf numFmtId="0" fontId="0" fillId="2" borderId="0" xfId="0" applyFill="1" applyAlignment="1">
      <alignment horizontal="center"/>
    </xf>
    <xf numFmtId="0" fontId="3" fillId="0" borderId="0" xfId="1" applyAlignment="1">
      <alignment horizontal="center"/>
    </xf>
    <xf numFmtId="3" fontId="0" fillId="0" borderId="0" xfId="0" applyNumberFormat="1" applyAlignment="1">
      <alignment horizontal="center"/>
    </xf>
    <xf numFmtId="4" fontId="0" fillId="0" borderId="0" xfId="0" applyNumberFormat="1" applyAlignment="1">
      <alignment horizontal="center"/>
    </xf>
    <xf numFmtId="0" fontId="4" fillId="3" borderId="0" xfId="0" applyFont="1" applyFill="1" applyAlignment="1">
      <alignment horizontal="center"/>
    </xf>
    <xf numFmtId="0" fontId="0" fillId="0" borderId="0" xfId="0" applyAlignment="1">
      <alignment horizontal="center" vertical="top"/>
    </xf>
    <xf numFmtId="4" fontId="4" fillId="3" borderId="0" xfId="0" applyNumberFormat="1" applyFont="1" applyFill="1" applyAlignment="1">
      <alignment horizontal="center"/>
    </xf>
    <xf numFmtId="20" fontId="0" fillId="0" borderId="0" xfId="0" applyNumberFormat="1" applyAlignment="1">
      <alignment horizontal="center" vertical="center"/>
    </xf>
    <xf numFmtId="0" fontId="0" fillId="0" borderId="0" xfId="0" applyAlignment="1">
      <alignment horizontal="center" vertical="center"/>
    </xf>
    <xf numFmtId="0" fontId="5" fillId="0" borderId="0" xfId="0" applyFont="1" applyAlignment="1">
      <alignment horizontal="center"/>
    </xf>
    <xf numFmtId="4" fontId="4" fillId="0" borderId="0" xfId="0" applyNumberFormat="1" applyFont="1" applyAlignment="1">
      <alignment horizontal="center"/>
    </xf>
    <xf numFmtId="0" fontId="4" fillId="0" borderId="0" xfId="0" applyFont="1" applyAlignment="1">
      <alignment horizontal="center"/>
    </xf>
    <xf numFmtId="0" fontId="4" fillId="2" borderId="0" xfId="0" applyFont="1" applyFill="1" applyAlignment="1">
      <alignment horizontal="center"/>
    </xf>
    <xf numFmtId="0" fontId="6" fillId="0" borderId="0" xfId="0" applyFont="1"/>
    <xf numFmtId="0" fontId="0" fillId="3" borderId="0" xfId="0" applyFill="1" applyAlignment="1">
      <alignment horizontal="center"/>
    </xf>
    <xf numFmtId="6" fontId="4" fillId="2" borderId="0" xfId="0" applyNumberFormat="1" applyFont="1" applyFill="1" applyAlignment="1">
      <alignment horizontal="center"/>
    </xf>
    <xf numFmtId="0" fontId="3" fillId="0" borderId="0" xfId="1"/>
    <xf numFmtId="20" fontId="0" fillId="0" borderId="0" xfId="0" applyNumberFormat="1" applyAlignment="1">
      <alignment horizontal="center"/>
    </xf>
    <xf numFmtId="4" fontId="0" fillId="3" borderId="0" xfId="0" applyNumberFormat="1" applyFill="1" applyAlignment="1">
      <alignment horizontal="center"/>
    </xf>
    <xf numFmtId="4" fontId="4" fillId="2" borderId="0" xfId="0" applyNumberFormat="1" applyFont="1" applyFill="1" applyAlignment="1">
      <alignment horizontal="center"/>
    </xf>
    <xf numFmtId="4" fontId="0" fillId="2" borderId="0" xfId="0" applyNumberFormat="1" applyFill="1" applyAlignment="1">
      <alignment horizontal="center"/>
    </xf>
    <xf numFmtId="0" fontId="0" fillId="0" borderId="0" xfId="0" applyAlignment="1">
      <alignment horizontal="right"/>
    </xf>
    <xf numFmtId="0" fontId="0" fillId="2" borderId="0" xfId="0" applyFill="1"/>
    <xf numFmtId="6" fontId="0" fillId="0" borderId="0" xfId="0" applyNumberFormat="1"/>
    <xf numFmtId="0" fontId="7" fillId="3" borderId="0" xfId="0" applyFont="1" applyFill="1"/>
    <xf numFmtId="0" fontId="0" fillId="4" borderId="0" xfId="0" applyFill="1"/>
    <xf numFmtId="0" fontId="5" fillId="2" borderId="0" xfId="0" applyFont="1" applyFill="1" applyAlignment="1">
      <alignment horizontal="center"/>
    </xf>
    <xf numFmtId="8" fontId="0" fillId="0" borderId="0" xfId="0" applyNumberFormat="1"/>
    <xf numFmtId="8" fontId="6" fillId="0" borderId="0" xfId="0" applyNumberFormat="1" applyFont="1"/>
    <xf numFmtId="0" fontId="7" fillId="0" borderId="0" xfId="0" applyFont="1"/>
    <xf numFmtId="0" fontId="8" fillId="0" borderId="0" xfId="0" applyFont="1"/>
    <xf numFmtId="0" fontId="9" fillId="0" borderId="0" xfId="0" applyFont="1"/>
    <xf numFmtId="10" fontId="6" fillId="0" borderId="0" xfId="0" applyNumberFormat="1" applyFont="1"/>
    <xf numFmtId="0" fontId="11" fillId="0" borderId="0" xfId="0" applyFont="1"/>
    <xf numFmtId="0" fontId="12" fillId="3" borderId="0" xfId="0" applyFont="1" applyFill="1" applyAlignment="1">
      <alignment horizontal="center"/>
    </xf>
    <xf numFmtId="0" fontId="6" fillId="0" borderId="0" xfId="0" applyFont="1" applyAlignment="1">
      <alignment horizontal="right"/>
    </xf>
    <xf numFmtId="7" fontId="6" fillId="0" borderId="0" xfId="0" applyNumberFormat="1" applyFont="1"/>
    <xf numFmtId="0" fontId="9" fillId="0" borderId="0" xfId="0" applyFont="1" applyAlignment="1">
      <alignment horizontal="right"/>
    </xf>
    <xf numFmtId="2" fontId="0" fillId="0" borderId="0" xfId="0" applyNumberFormat="1"/>
    <xf numFmtId="0" fontId="9" fillId="0" borderId="0" xfId="0" applyFont="1" applyAlignment="1">
      <alignment horizontal="center" vertical="center"/>
    </xf>
    <xf numFmtId="0" fontId="9" fillId="0" borderId="0" xfId="0" applyFont="1" applyAlignment="1">
      <alignment horizontal="center"/>
    </xf>
    <xf numFmtId="0" fontId="8" fillId="0" borderId="0" xfId="0" applyFont="1" applyAlignment="1">
      <alignment horizontal="center"/>
    </xf>
    <xf numFmtId="0" fontId="10" fillId="0" borderId="0" xfId="0" applyFont="1" applyAlignment="1">
      <alignment horizontal="center"/>
    </xf>
    <xf numFmtId="0" fontId="6" fillId="0" borderId="0" xfId="0" applyFont="1" applyAlignment="1">
      <alignment horizontal="center"/>
    </xf>
    <xf numFmtId="164" fontId="0" fillId="0" borderId="0" xfId="0" applyNumberFormat="1"/>
    <xf numFmtId="0" fontId="13" fillId="0" borderId="0" xfId="0" applyFont="1"/>
    <xf numFmtId="20" fontId="6" fillId="0" borderId="0" xfId="0" applyNumberFormat="1" applyFont="1" applyAlignment="1">
      <alignment horizontal="center"/>
    </xf>
    <xf numFmtId="0" fontId="8" fillId="2" borderId="0" xfId="0" applyFont="1" applyFill="1" applyAlignment="1">
      <alignment horizontal="center"/>
    </xf>
    <xf numFmtId="0" fontId="5" fillId="0" borderId="0" xfId="0" applyFont="1"/>
    <xf numFmtId="7" fontId="0" fillId="0" borderId="0" xfId="0" applyNumberFormat="1"/>
    <xf numFmtId="165" fontId="10" fillId="0" borderId="0" xfId="0" applyNumberFormat="1" applyFont="1" applyAlignment="1">
      <alignment horizontal="center"/>
    </xf>
    <xf numFmtId="4" fontId="6" fillId="0" borderId="0" xfId="0" applyNumberFormat="1" applyFont="1"/>
    <xf numFmtId="10" fontId="7" fillId="0" borderId="0" xfId="0" applyNumberFormat="1" applyFont="1" applyAlignment="1">
      <alignment horizontal="center"/>
    </xf>
    <xf numFmtId="165" fontId="9" fillId="0" borderId="0" xfId="0" applyNumberFormat="1" applyFont="1" applyAlignment="1">
      <alignment horizontal="center"/>
    </xf>
    <xf numFmtId="4" fontId="15" fillId="3" borderId="0" xfId="0" applyNumberFormat="1" applyFont="1" applyFill="1" applyAlignment="1">
      <alignment horizontal="center"/>
    </xf>
    <xf numFmtId="0" fontId="4" fillId="0" borderId="0" xfId="0" applyFont="1" applyAlignment="1">
      <alignment horizontal="right"/>
    </xf>
    <xf numFmtId="0" fontId="16" fillId="3" borderId="0" xfId="0" applyFont="1" applyFill="1" applyAlignment="1">
      <alignment horizontal="center"/>
    </xf>
    <xf numFmtId="0" fontId="6" fillId="4" borderId="0" xfId="0" applyFont="1" applyFill="1"/>
    <xf numFmtId="7" fontId="8" fillId="0" borderId="0" xfId="0" applyNumberFormat="1" applyFont="1"/>
    <xf numFmtId="6" fontId="6" fillId="0" borderId="0" xfId="0" applyNumberFormat="1" applyFont="1"/>
    <xf numFmtId="20" fontId="0" fillId="0" borderId="0" xfId="0" applyNumberFormat="1" applyAlignment="1">
      <alignment horizontal="right"/>
    </xf>
    <xf numFmtId="14" fontId="0" fillId="0" borderId="0" xfId="0" applyNumberFormat="1" applyAlignment="1">
      <alignment horizontal="right"/>
    </xf>
    <xf numFmtId="20" fontId="0" fillId="0" borderId="0" xfId="0" applyNumberFormat="1"/>
    <xf numFmtId="14" fontId="0" fillId="0" borderId="0" xfId="0" applyNumberFormat="1"/>
    <xf numFmtId="0" fontId="0" fillId="3" borderId="0" xfId="0" applyFill="1"/>
    <xf numFmtId="0" fontId="6" fillId="3" borderId="0" xfId="0" applyFont="1" applyFill="1" applyAlignment="1">
      <alignment horizontal="center"/>
    </xf>
    <xf numFmtId="4" fontId="18" fillId="3" borderId="0" xfId="0" applyNumberFormat="1" applyFont="1" applyFill="1" applyAlignment="1">
      <alignment horizontal="center"/>
    </xf>
    <xf numFmtId="0" fontId="18" fillId="3" borderId="0" xfId="0" applyFont="1" applyFill="1" applyAlignment="1">
      <alignment horizontal="center"/>
    </xf>
    <xf numFmtId="4" fontId="0" fillId="2" borderId="0" xfId="0" applyNumberFormat="1" applyFill="1" applyAlignment="1">
      <alignment horizontal="center" vertical="center"/>
    </xf>
    <xf numFmtId="3" fontId="0" fillId="2" borderId="0" xfId="0" applyNumberFormat="1" applyFill="1" applyAlignment="1">
      <alignment horizontal="center"/>
    </xf>
    <xf numFmtId="0" fontId="5" fillId="3" borderId="0" xfId="0" applyFont="1" applyFill="1" applyAlignment="1">
      <alignment horizontal="center"/>
    </xf>
    <xf numFmtId="167" fontId="0" fillId="0" borderId="0" xfId="0" applyNumberFormat="1"/>
    <xf numFmtId="15" fontId="0" fillId="0" borderId="0" xfId="0" applyNumberFormat="1" applyAlignment="1">
      <alignment horizontal="center"/>
    </xf>
    <xf numFmtId="0" fontId="1" fillId="0" borderId="0" xfId="0" applyFont="1" applyAlignment="1">
      <alignment horizontal="center"/>
    </xf>
    <xf numFmtId="10" fontId="6" fillId="0" borderId="0" xfId="0" applyNumberFormat="1" applyFont="1" applyAlignment="1">
      <alignment horizontal="center"/>
    </xf>
    <xf numFmtId="166" fontId="8" fillId="0" borderId="0" xfId="0" applyNumberFormat="1" applyFont="1" applyAlignment="1">
      <alignment horizontal="center"/>
    </xf>
    <xf numFmtId="166" fontId="0" fillId="0" borderId="0" xfId="0" applyNumberFormat="1" applyAlignment="1">
      <alignment horizontal="center"/>
    </xf>
    <xf numFmtId="2" fontId="8" fillId="0" borderId="0" xfId="0" applyNumberFormat="1" applyFont="1" applyAlignment="1">
      <alignment horizontal="center"/>
    </xf>
    <xf numFmtId="0" fontId="17" fillId="5" borderId="0" xfId="0" applyFont="1" applyFill="1" applyAlignment="1">
      <alignment horizontal="center"/>
    </xf>
    <xf numFmtId="4" fontId="6" fillId="2" borderId="0" xfId="0" applyNumberFormat="1"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ile:///C:\Users\adams\OneDrive\DayTrad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loom.com/share/a77986333f00403d9e1e2615117b13e1" TargetMode="External"/><Relationship Id="rId3" Type="http://schemas.openxmlformats.org/officeDocument/2006/relationships/hyperlink" Target="https://www.loom.com/share/3b4fb64994e64197aaf18c9222d01d35?sid=0440c1d5-be85-4dc2-ab00-23bc238cc880" TargetMode="External"/><Relationship Id="rId7" Type="http://schemas.openxmlformats.org/officeDocument/2006/relationships/hyperlink" Target="https://www.loom.com/share/f46bc0daeff145858a93594b5f23a678" TargetMode="External"/><Relationship Id="rId2" Type="http://schemas.openxmlformats.org/officeDocument/2006/relationships/hyperlink" Target="https://www.loom.com/share/9aa99f1313204478b5aa0106208fd7b8?sid=b5fee0fe-db2f-4c23-976d-28eb8581b580" TargetMode="External"/><Relationship Id="rId1" Type="http://schemas.openxmlformats.org/officeDocument/2006/relationships/hyperlink" Target="https://www.loom.com/share/07337fb6435246778e6813797356376f?sid=5e1795d2-2a16-46cc-8597-fa923333333d" TargetMode="External"/><Relationship Id="rId6" Type="http://schemas.openxmlformats.org/officeDocument/2006/relationships/hyperlink" Target="https://www.loom.com/share/5bcfbf7dfcc4431793fcbe51092273f9" TargetMode="External"/><Relationship Id="rId11" Type="http://schemas.openxmlformats.org/officeDocument/2006/relationships/printerSettings" Target="../printerSettings/printerSettings2.bin"/><Relationship Id="rId5" Type="http://schemas.openxmlformats.org/officeDocument/2006/relationships/hyperlink" Target="https://www.loom.com/share/27f63ad1e43b4515ae04ff2e31923df1?sid=32351428-e31b-4c32-8239-605c4bdc7067" TargetMode="External"/><Relationship Id="rId10" Type="http://schemas.openxmlformats.org/officeDocument/2006/relationships/hyperlink" Target="https://www.loom.com/share/5afd09107e894ba29b488889b12bebe2" TargetMode="External"/><Relationship Id="rId4" Type="http://schemas.openxmlformats.org/officeDocument/2006/relationships/hyperlink" Target="https://www.loom.com/share/bf452c09626441b8a47e78c921abc998?sid=17df3a8a-7824-4302-bc10-b83bfd3374e7" TargetMode="External"/><Relationship Id="rId9" Type="http://schemas.openxmlformats.org/officeDocument/2006/relationships/hyperlink" Target="https://www.loom.com/share/4b3044d8f351448bbcbb0867d5fd10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85EE7-57B5-4444-98CE-AA3C4C3D0CDF}">
  <dimension ref="A1:N329"/>
  <sheetViews>
    <sheetView tabSelected="1" topLeftCell="A305" zoomScaleNormal="100" workbookViewId="0">
      <selection activeCell="E323" sqref="E323"/>
    </sheetView>
  </sheetViews>
  <sheetFormatPr defaultRowHeight="15" x14ac:dyDescent="0.25"/>
  <cols>
    <col min="1" max="1" width="14.28515625" customWidth="1"/>
    <col min="2" max="3" width="13.140625" customWidth="1"/>
    <col min="4" max="4" width="15.5703125" customWidth="1"/>
    <col min="5" max="5" width="15" customWidth="1"/>
    <col min="6" max="6" width="19.85546875" customWidth="1"/>
    <col min="7" max="7" width="21.5703125" customWidth="1"/>
    <col min="8" max="8" width="23.140625" customWidth="1"/>
    <col min="9" max="9" width="35.42578125" customWidth="1"/>
    <col min="10" max="10" width="16.140625" customWidth="1"/>
    <col min="11" max="11" width="10.140625" customWidth="1"/>
    <col min="12" max="12" width="11.7109375" style="6" customWidth="1"/>
  </cols>
  <sheetData>
    <row r="1" spans="1:14" x14ac:dyDescent="0.25">
      <c r="A1" s="4" t="s">
        <v>8</v>
      </c>
      <c r="B1" s="4" t="s">
        <v>17</v>
      </c>
      <c r="C1" s="4" t="s">
        <v>319</v>
      </c>
      <c r="D1" s="20" t="s">
        <v>16</v>
      </c>
      <c r="E1" s="20" t="s">
        <v>22</v>
      </c>
      <c r="F1" s="20" t="s">
        <v>18</v>
      </c>
      <c r="G1" s="20" t="s">
        <v>43</v>
      </c>
      <c r="H1" s="20" t="s">
        <v>44</v>
      </c>
      <c r="I1" t="s">
        <v>24</v>
      </c>
      <c r="J1" s="20" t="s">
        <v>362</v>
      </c>
      <c r="K1" t="s">
        <v>21</v>
      </c>
      <c r="L1" s="6" t="s">
        <v>20</v>
      </c>
      <c r="N1" t="s">
        <v>28</v>
      </c>
    </row>
    <row r="2" spans="1:14" x14ac:dyDescent="0.25">
      <c r="A2" s="3">
        <v>45713</v>
      </c>
      <c r="B2" t="s">
        <v>10</v>
      </c>
      <c r="D2" s="6" t="s">
        <v>19</v>
      </c>
      <c r="E2" s="9">
        <v>49582</v>
      </c>
      <c r="F2" s="6">
        <v>0</v>
      </c>
      <c r="G2" s="6"/>
      <c r="H2" s="6"/>
      <c r="I2" s="6" t="s">
        <v>25</v>
      </c>
      <c r="J2" s="6"/>
      <c r="K2" s="8" t="s">
        <v>78</v>
      </c>
      <c r="L2" s="79">
        <v>45627</v>
      </c>
    </row>
    <row r="3" spans="1:14" x14ac:dyDescent="0.25">
      <c r="A3" s="3">
        <v>45714</v>
      </c>
      <c r="B3" t="s">
        <v>11</v>
      </c>
      <c r="D3" s="6" t="s">
        <v>26</v>
      </c>
      <c r="E3" s="6" t="s">
        <v>23</v>
      </c>
      <c r="F3" s="7">
        <v>-320</v>
      </c>
      <c r="G3" s="6"/>
      <c r="H3" s="6"/>
      <c r="I3" s="6" t="s">
        <v>25</v>
      </c>
      <c r="J3" s="6"/>
      <c r="K3" s="6"/>
      <c r="L3" s="79">
        <v>45590</v>
      </c>
    </row>
    <row r="4" spans="1:14" x14ac:dyDescent="0.25">
      <c r="A4" s="3">
        <v>45715</v>
      </c>
      <c r="B4" t="s">
        <v>12</v>
      </c>
      <c r="D4" s="6" t="s">
        <v>26</v>
      </c>
      <c r="E4" s="10">
        <v>48733.8</v>
      </c>
      <c r="F4" s="7">
        <v>-1268</v>
      </c>
      <c r="G4" s="6"/>
      <c r="H4" s="6"/>
      <c r="I4" s="6" t="s">
        <v>25</v>
      </c>
      <c r="J4" s="6"/>
    </row>
    <row r="5" spans="1:14" x14ac:dyDescent="0.25">
      <c r="A5" s="3">
        <v>45716</v>
      </c>
      <c r="B5" t="s">
        <v>13</v>
      </c>
      <c r="D5" s="6" t="s">
        <v>26</v>
      </c>
      <c r="E5" s="10">
        <v>48733.8</v>
      </c>
      <c r="F5" s="6">
        <v>0</v>
      </c>
      <c r="G5" s="6"/>
      <c r="H5" s="6"/>
      <c r="I5" s="6" t="s">
        <v>25</v>
      </c>
      <c r="J5" s="6"/>
    </row>
    <row r="6" spans="1:14" x14ac:dyDescent="0.25">
      <c r="A6" s="3">
        <v>45717</v>
      </c>
      <c r="B6" t="s">
        <v>14</v>
      </c>
      <c r="D6" s="6" t="s">
        <v>26</v>
      </c>
      <c r="E6" s="10">
        <v>48733.8</v>
      </c>
      <c r="F6" s="6">
        <v>0</v>
      </c>
      <c r="G6" s="6"/>
      <c r="H6" s="6"/>
      <c r="I6" s="6" t="s">
        <v>25</v>
      </c>
      <c r="J6" s="6"/>
    </row>
    <row r="7" spans="1:14" x14ac:dyDescent="0.25">
      <c r="A7" s="3">
        <v>45718</v>
      </c>
      <c r="B7" t="s">
        <v>15</v>
      </c>
      <c r="D7" s="6" t="s">
        <v>26</v>
      </c>
      <c r="E7" s="6" t="s">
        <v>27</v>
      </c>
      <c r="F7" s="11">
        <v>144</v>
      </c>
      <c r="G7" s="18"/>
      <c r="H7" s="18"/>
      <c r="I7" s="6" t="s">
        <v>25</v>
      </c>
      <c r="J7" s="6"/>
      <c r="N7" t="s">
        <v>29</v>
      </c>
    </row>
    <row r="8" spans="1:14" x14ac:dyDescent="0.25">
      <c r="A8" s="3">
        <v>45719</v>
      </c>
      <c r="B8" t="s">
        <v>9</v>
      </c>
      <c r="D8" s="6" t="s">
        <v>26</v>
      </c>
      <c r="E8" s="6" t="s">
        <v>31</v>
      </c>
      <c r="F8" s="12">
        <v>0</v>
      </c>
      <c r="G8" s="12"/>
      <c r="H8" s="12"/>
      <c r="I8" s="6" t="s">
        <v>25</v>
      </c>
      <c r="J8" s="6"/>
      <c r="N8" t="s">
        <v>30</v>
      </c>
    </row>
    <row r="9" spans="1:14" x14ac:dyDescent="0.25">
      <c r="A9" s="3">
        <v>45720</v>
      </c>
      <c r="B9" t="s">
        <v>10</v>
      </c>
      <c r="D9" s="6" t="s">
        <v>26</v>
      </c>
      <c r="E9" s="1">
        <v>49155.199999999997</v>
      </c>
      <c r="F9" s="13">
        <v>278</v>
      </c>
      <c r="G9" s="17"/>
      <c r="H9" s="17"/>
      <c r="I9" s="6" t="s">
        <v>32</v>
      </c>
      <c r="J9" s="6"/>
      <c r="N9" t="s">
        <v>33</v>
      </c>
    </row>
    <row r="10" spans="1:14" x14ac:dyDescent="0.25">
      <c r="A10" s="3">
        <v>45721</v>
      </c>
      <c r="B10" t="s">
        <v>11</v>
      </c>
      <c r="D10" s="6"/>
      <c r="L10" s="80" t="s">
        <v>119</v>
      </c>
    </row>
    <row r="11" spans="1:14" x14ac:dyDescent="0.25">
      <c r="A11" s="3">
        <v>45722</v>
      </c>
      <c r="B11" t="s">
        <v>12</v>
      </c>
      <c r="D11" s="6"/>
      <c r="L11" s="80" t="s">
        <v>120</v>
      </c>
    </row>
    <row r="12" spans="1:14" x14ac:dyDescent="0.25">
      <c r="A12" s="3">
        <v>45723</v>
      </c>
      <c r="B12" t="s">
        <v>13</v>
      </c>
      <c r="D12" s="6"/>
      <c r="G12" s="20" t="s">
        <v>217</v>
      </c>
      <c r="I12" s="20" t="s">
        <v>246</v>
      </c>
      <c r="J12" s="20"/>
      <c r="K12" s="20" t="s">
        <v>247</v>
      </c>
    </row>
    <row r="13" spans="1:14" x14ac:dyDescent="0.25">
      <c r="A13" s="3">
        <v>45724</v>
      </c>
      <c r="B13" t="s">
        <v>35</v>
      </c>
      <c r="D13" s="6"/>
    </row>
    <row r="14" spans="1:14" x14ac:dyDescent="0.25">
      <c r="A14" s="3">
        <v>45725</v>
      </c>
      <c r="B14" t="s">
        <v>35</v>
      </c>
      <c r="D14" s="6"/>
    </row>
    <row r="15" spans="1:14" x14ac:dyDescent="0.25">
      <c r="A15" s="3">
        <v>45726</v>
      </c>
      <c r="B15" t="s">
        <v>9</v>
      </c>
      <c r="D15" s="6" t="s">
        <v>26</v>
      </c>
      <c r="E15" s="1">
        <v>49155.199999999997</v>
      </c>
      <c r="F15" s="13">
        <v>278</v>
      </c>
      <c r="G15" s="17"/>
      <c r="H15" s="17"/>
      <c r="I15" s="6" t="s">
        <v>32</v>
      </c>
      <c r="J15" s="6"/>
    </row>
    <row r="16" spans="1:14" x14ac:dyDescent="0.25">
      <c r="A16" s="3">
        <v>45727</v>
      </c>
      <c r="B16" t="s">
        <v>10</v>
      </c>
      <c r="D16" s="6" t="s">
        <v>26</v>
      </c>
      <c r="E16" s="2">
        <v>48842.1</v>
      </c>
      <c r="F16" s="7">
        <v>-313.2</v>
      </c>
      <c r="G16" s="16"/>
      <c r="H16" s="6"/>
      <c r="I16" s="14">
        <v>0.4152777777777778</v>
      </c>
      <c r="J16" s="14"/>
      <c r="N16" t="s">
        <v>34</v>
      </c>
    </row>
    <row r="17" spans="1:14" x14ac:dyDescent="0.25">
      <c r="A17" s="3">
        <v>45728</v>
      </c>
      <c r="B17" t="s">
        <v>11</v>
      </c>
      <c r="E17" s="2">
        <v>48842.1</v>
      </c>
      <c r="F17" s="15">
        <v>0</v>
      </c>
      <c r="G17" s="15"/>
      <c r="H17" s="15"/>
    </row>
    <row r="18" spans="1:14" x14ac:dyDescent="0.25">
      <c r="A18" s="3">
        <v>45729</v>
      </c>
      <c r="B18" t="s">
        <v>12</v>
      </c>
      <c r="E18" s="2">
        <v>48842.1</v>
      </c>
      <c r="F18" s="15">
        <v>0</v>
      </c>
      <c r="G18" s="15"/>
      <c r="H18" s="15"/>
    </row>
    <row r="19" spans="1:14" x14ac:dyDescent="0.25">
      <c r="A19" s="3">
        <v>45730</v>
      </c>
      <c r="B19" t="s">
        <v>13</v>
      </c>
      <c r="E19" s="2">
        <v>48842.1</v>
      </c>
      <c r="F19" s="15">
        <v>0</v>
      </c>
      <c r="G19" s="15"/>
      <c r="H19" s="15"/>
    </row>
    <row r="20" spans="1:14" x14ac:dyDescent="0.25">
      <c r="A20" s="3">
        <v>45731</v>
      </c>
      <c r="B20" t="s">
        <v>35</v>
      </c>
      <c r="N20" t="s">
        <v>36</v>
      </c>
    </row>
    <row r="21" spans="1:14" x14ac:dyDescent="0.25">
      <c r="A21" s="3">
        <v>45732</v>
      </c>
      <c r="B21" t="s">
        <v>35</v>
      </c>
      <c r="N21" t="s">
        <v>37</v>
      </c>
    </row>
    <row r="22" spans="1:14" x14ac:dyDescent="0.25">
      <c r="A22" s="3">
        <v>45733</v>
      </c>
      <c r="B22" t="s">
        <v>9</v>
      </c>
      <c r="E22" s="2">
        <v>48649.7</v>
      </c>
      <c r="F22" s="15">
        <v>0</v>
      </c>
      <c r="G22" s="15"/>
      <c r="H22" s="15"/>
    </row>
    <row r="23" spans="1:14" x14ac:dyDescent="0.25">
      <c r="A23" s="3">
        <v>45734</v>
      </c>
      <c r="B23" t="s">
        <v>10</v>
      </c>
      <c r="E23" s="2">
        <v>48650</v>
      </c>
      <c r="F23" s="15">
        <v>0</v>
      </c>
      <c r="G23" s="15"/>
      <c r="H23" s="15"/>
      <c r="N23" t="s">
        <v>38</v>
      </c>
    </row>
    <row r="24" spans="1:14" x14ac:dyDescent="0.25">
      <c r="A24" s="3">
        <v>45735</v>
      </c>
      <c r="B24" t="s">
        <v>11</v>
      </c>
      <c r="E24" s="2">
        <v>48650</v>
      </c>
      <c r="F24" s="15">
        <v>0</v>
      </c>
      <c r="G24" s="15"/>
      <c r="H24" s="15"/>
      <c r="N24" t="s">
        <v>39</v>
      </c>
    </row>
    <row r="25" spans="1:14" x14ac:dyDescent="0.25">
      <c r="A25" s="3">
        <v>45736</v>
      </c>
      <c r="B25" t="s">
        <v>12</v>
      </c>
      <c r="E25" t="s">
        <v>40</v>
      </c>
      <c r="F25">
        <v>0</v>
      </c>
      <c r="N25" t="s">
        <v>41</v>
      </c>
    </row>
    <row r="26" spans="1:14" x14ac:dyDescent="0.25">
      <c r="A26" s="3">
        <v>45737</v>
      </c>
      <c r="B26" t="s">
        <v>13</v>
      </c>
      <c r="E26" s="2">
        <v>49743</v>
      </c>
      <c r="F26" s="15">
        <v>0</v>
      </c>
      <c r="G26" s="15"/>
      <c r="H26" s="15"/>
      <c r="N26" t="s">
        <v>42</v>
      </c>
    </row>
    <row r="27" spans="1:14" x14ac:dyDescent="0.25">
      <c r="A27" s="3">
        <v>45738</v>
      </c>
      <c r="B27" t="s">
        <v>14</v>
      </c>
    </row>
    <row r="28" spans="1:14" x14ac:dyDescent="0.25">
      <c r="A28" s="3">
        <v>45739</v>
      </c>
      <c r="B28" t="s">
        <v>14</v>
      </c>
    </row>
    <row r="29" spans="1:14" x14ac:dyDescent="0.25">
      <c r="A29" s="3">
        <v>45740</v>
      </c>
      <c r="B29" t="s">
        <v>9</v>
      </c>
      <c r="D29" t="s">
        <v>26</v>
      </c>
      <c r="E29" s="1">
        <v>49657.599999999999</v>
      </c>
      <c r="F29" s="19">
        <v>-85.7</v>
      </c>
      <c r="G29" s="6" t="s">
        <v>45</v>
      </c>
      <c r="H29" s="6" t="s">
        <v>48</v>
      </c>
      <c r="I29" s="6" t="s">
        <v>46</v>
      </c>
      <c r="J29" s="6"/>
      <c r="N29" t="s">
        <v>47</v>
      </c>
    </row>
    <row r="30" spans="1:14" x14ac:dyDescent="0.25">
      <c r="A30" s="3">
        <v>45741</v>
      </c>
      <c r="B30" t="s">
        <v>10</v>
      </c>
      <c r="D30" t="s">
        <v>26</v>
      </c>
      <c r="E30" s="1">
        <v>50721.4</v>
      </c>
      <c r="F30" s="21">
        <v>1063.8</v>
      </c>
      <c r="G30" s="6" t="s">
        <v>49</v>
      </c>
      <c r="H30" s="6" t="s">
        <v>48</v>
      </c>
      <c r="I30" s="6" t="s">
        <v>50</v>
      </c>
      <c r="J30" s="6"/>
      <c r="N30" t="s">
        <v>51</v>
      </c>
    </row>
    <row r="31" spans="1:14" x14ac:dyDescent="0.25">
      <c r="A31" s="3">
        <v>45742</v>
      </c>
      <c r="B31" t="s">
        <v>11</v>
      </c>
      <c r="G31" s="6" t="s">
        <v>52</v>
      </c>
      <c r="N31" t="s">
        <v>53</v>
      </c>
    </row>
    <row r="32" spans="1:14" x14ac:dyDescent="0.25">
      <c r="A32" s="3">
        <v>45743</v>
      </c>
      <c r="B32" t="s">
        <v>12</v>
      </c>
      <c r="G32" s="6" t="s">
        <v>52</v>
      </c>
      <c r="N32" t="s">
        <v>54</v>
      </c>
    </row>
    <row r="33" spans="1:14" x14ac:dyDescent="0.25">
      <c r="A33" s="3">
        <v>45744</v>
      </c>
      <c r="B33" t="s">
        <v>13</v>
      </c>
      <c r="D33" t="s">
        <v>26</v>
      </c>
      <c r="E33" t="s">
        <v>40</v>
      </c>
      <c r="F33" s="22">
        <v>1700</v>
      </c>
      <c r="G33" s="6" t="s">
        <v>55</v>
      </c>
      <c r="H33" s="6" t="s">
        <v>56</v>
      </c>
      <c r="I33" s="6" t="s">
        <v>57</v>
      </c>
      <c r="J33" s="6"/>
      <c r="N33" t="s">
        <v>58</v>
      </c>
    </row>
    <row r="34" spans="1:14" x14ac:dyDescent="0.25">
      <c r="A34" s="3">
        <v>45745</v>
      </c>
      <c r="B34" t="s">
        <v>70</v>
      </c>
    </row>
    <row r="35" spans="1:14" x14ac:dyDescent="0.25">
      <c r="A35" s="3">
        <v>45746</v>
      </c>
      <c r="B35" t="s">
        <v>71</v>
      </c>
    </row>
    <row r="36" spans="1:14" x14ac:dyDescent="0.25">
      <c r="A36" s="3">
        <v>45747</v>
      </c>
      <c r="B36" t="s">
        <v>9</v>
      </c>
      <c r="D36" t="s">
        <v>26</v>
      </c>
      <c r="E36" s="1">
        <v>49841.9</v>
      </c>
      <c r="F36" s="19">
        <v>158.1</v>
      </c>
      <c r="G36" s="6" t="s">
        <v>45</v>
      </c>
      <c r="H36" s="6" t="s">
        <v>48</v>
      </c>
      <c r="I36" s="24">
        <v>0.45624999999999999</v>
      </c>
      <c r="J36" s="24"/>
      <c r="N36" t="s">
        <v>72</v>
      </c>
    </row>
    <row r="37" spans="1:14" x14ac:dyDescent="0.25">
      <c r="A37" s="3">
        <v>45748</v>
      </c>
      <c r="B37" t="s">
        <v>10</v>
      </c>
      <c r="E37" s="1">
        <v>49841.9</v>
      </c>
      <c r="H37" s="6" t="s">
        <v>25</v>
      </c>
      <c r="N37" t="s">
        <v>73</v>
      </c>
    </row>
    <row r="38" spans="1:14" x14ac:dyDescent="0.25">
      <c r="A38" s="3">
        <v>45749</v>
      </c>
      <c r="B38" t="s">
        <v>11</v>
      </c>
      <c r="E38">
        <v>48810.9</v>
      </c>
    </row>
    <row r="39" spans="1:14" x14ac:dyDescent="0.25">
      <c r="A39" s="3">
        <v>45750</v>
      </c>
      <c r="B39" t="s">
        <v>12</v>
      </c>
      <c r="D39" t="s">
        <v>26</v>
      </c>
      <c r="E39">
        <v>48810.9</v>
      </c>
      <c r="N39" t="s">
        <v>74</v>
      </c>
    </row>
    <row r="40" spans="1:14" x14ac:dyDescent="0.25">
      <c r="A40" s="3">
        <v>45751</v>
      </c>
      <c r="B40" t="s">
        <v>13</v>
      </c>
      <c r="E40">
        <v>48810.9</v>
      </c>
      <c r="N40" t="s">
        <v>75</v>
      </c>
    </row>
    <row r="41" spans="1:14" x14ac:dyDescent="0.25">
      <c r="A41" s="3">
        <v>45752</v>
      </c>
      <c r="B41" t="s">
        <v>35</v>
      </c>
      <c r="E41">
        <v>48810.9</v>
      </c>
    </row>
    <row r="42" spans="1:14" x14ac:dyDescent="0.25">
      <c r="A42" s="3">
        <v>45753</v>
      </c>
      <c r="B42" t="s">
        <v>35</v>
      </c>
      <c r="E42">
        <v>48810.9</v>
      </c>
    </row>
    <row r="43" spans="1:14" x14ac:dyDescent="0.25">
      <c r="A43" s="3">
        <v>45754</v>
      </c>
      <c r="B43" t="s">
        <v>9</v>
      </c>
      <c r="E43">
        <v>48810.9</v>
      </c>
    </row>
    <row r="44" spans="1:14" x14ac:dyDescent="0.25">
      <c r="A44" s="3">
        <v>45755</v>
      </c>
      <c r="B44" t="s">
        <v>10</v>
      </c>
      <c r="E44">
        <v>48810.9</v>
      </c>
      <c r="N44" t="s">
        <v>76</v>
      </c>
    </row>
    <row r="45" spans="1:14" x14ac:dyDescent="0.25">
      <c r="A45" s="3">
        <v>45756</v>
      </c>
      <c r="B45" t="s">
        <v>11</v>
      </c>
      <c r="E45">
        <v>48810.9</v>
      </c>
      <c r="N45" t="s">
        <v>77</v>
      </c>
    </row>
    <row r="46" spans="1:14" x14ac:dyDescent="0.25">
      <c r="A46" s="3">
        <v>45757</v>
      </c>
      <c r="B46" t="s">
        <v>12</v>
      </c>
      <c r="E46">
        <v>48810.9</v>
      </c>
    </row>
    <row r="47" spans="1:14" x14ac:dyDescent="0.25">
      <c r="A47" s="3">
        <v>45758</v>
      </c>
      <c r="B47" t="s">
        <v>13</v>
      </c>
      <c r="E47">
        <v>49633.2</v>
      </c>
      <c r="F47" s="11">
        <f>E47-E46</f>
        <v>822.29999999999563</v>
      </c>
      <c r="G47" s="6" t="s">
        <v>49</v>
      </c>
      <c r="H47" s="6" t="s">
        <v>48</v>
      </c>
      <c r="N47" t="s">
        <v>79</v>
      </c>
    </row>
    <row r="48" spans="1:14" x14ac:dyDescent="0.25">
      <c r="A48" s="3">
        <v>45759</v>
      </c>
      <c r="B48" t="s">
        <v>35</v>
      </c>
    </row>
    <row r="49" spans="1:14" x14ac:dyDescent="0.25">
      <c r="A49" s="3">
        <v>45760</v>
      </c>
      <c r="B49" t="s">
        <v>35</v>
      </c>
    </row>
    <row r="50" spans="1:14" x14ac:dyDescent="0.25">
      <c r="A50" s="3">
        <v>45761</v>
      </c>
      <c r="B50" t="s">
        <v>9</v>
      </c>
      <c r="D50" t="s">
        <v>26</v>
      </c>
      <c r="E50">
        <v>49293</v>
      </c>
      <c r="F50" s="19">
        <f>E47-E50</f>
        <v>340.19999999999709</v>
      </c>
      <c r="G50" s="6" t="s">
        <v>45</v>
      </c>
      <c r="H50" s="6" t="s">
        <v>48</v>
      </c>
      <c r="I50" s="6" t="s">
        <v>80</v>
      </c>
      <c r="J50" s="6"/>
      <c r="N50" t="s">
        <v>81</v>
      </c>
    </row>
    <row r="51" spans="1:14" x14ac:dyDescent="0.25">
      <c r="A51" s="3">
        <v>45762</v>
      </c>
      <c r="B51" t="s">
        <v>10</v>
      </c>
      <c r="D51" t="s">
        <v>52</v>
      </c>
      <c r="E51">
        <v>49293</v>
      </c>
      <c r="N51" t="s">
        <v>82</v>
      </c>
    </row>
    <row r="52" spans="1:14" x14ac:dyDescent="0.25">
      <c r="A52" s="3">
        <v>45763</v>
      </c>
      <c r="B52" t="s">
        <v>11</v>
      </c>
      <c r="D52" t="s">
        <v>52</v>
      </c>
      <c r="E52">
        <v>49293</v>
      </c>
      <c r="N52" t="s">
        <v>84</v>
      </c>
    </row>
    <row r="53" spans="1:14" x14ac:dyDescent="0.25">
      <c r="A53" s="3">
        <v>45764</v>
      </c>
      <c r="B53" t="s">
        <v>12</v>
      </c>
      <c r="D53" t="s">
        <v>52</v>
      </c>
      <c r="E53">
        <v>49293</v>
      </c>
      <c r="N53" t="s">
        <v>85</v>
      </c>
    </row>
    <row r="54" spans="1:14" x14ac:dyDescent="0.25">
      <c r="A54" s="3">
        <v>45765</v>
      </c>
      <c r="B54" t="s">
        <v>13</v>
      </c>
      <c r="D54" t="s">
        <v>83</v>
      </c>
      <c r="E54">
        <v>49293</v>
      </c>
    </row>
    <row r="55" spans="1:14" x14ac:dyDescent="0.25">
      <c r="A55" s="3">
        <v>45766</v>
      </c>
      <c r="B55" t="s">
        <v>35</v>
      </c>
    </row>
    <row r="56" spans="1:14" x14ac:dyDescent="0.25">
      <c r="A56" s="3">
        <v>45767</v>
      </c>
      <c r="B56" t="s">
        <v>35</v>
      </c>
    </row>
    <row r="57" spans="1:14" x14ac:dyDescent="0.25">
      <c r="A57" s="3">
        <v>45768</v>
      </c>
      <c r="B57" t="s">
        <v>9</v>
      </c>
      <c r="D57" t="s">
        <v>26</v>
      </c>
      <c r="E57">
        <v>49035.3</v>
      </c>
      <c r="F57" s="7">
        <f>E54-E57</f>
        <v>257.69999999999709</v>
      </c>
      <c r="G57" s="6" t="s">
        <v>45</v>
      </c>
      <c r="H57" s="6" t="s">
        <v>48</v>
      </c>
      <c r="I57" s="6" t="s">
        <v>86</v>
      </c>
      <c r="J57" s="6"/>
      <c r="N57" t="s">
        <v>87</v>
      </c>
    </row>
    <row r="58" spans="1:14" x14ac:dyDescent="0.25">
      <c r="A58" s="3">
        <v>45769</v>
      </c>
      <c r="B58" t="s">
        <v>10</v>
      </c>
      <c r="D58" t="s">
        <v>26</v>
      </c>
      <c r="E58">
        <v>48897.599999999999</v>
      </c>
      <c r="F58" s="19">
        <f>E57-E58</f>
        <v>137.70000000000437</v>
      </c>
      <c r="G58" s="6" t="s">
        <v>45</v>
      </c>
      <c r="H58" s="6" t="s">
        <v>48</v>
      </c>
      <c r="I58" s="6" t="s">
        <v>88</v>
      </c>
      <c r="J58" s="6"/>
      <c r="N58" t="s">
        <v>89</v>
      </c>
    </row>
    <row r="59" spans="1:14" x14ac:dyDescent="0.25">
      <c r="A59" s="3">
        <v>45770</v>
      </c>
      <c r="B59" t="s">
        <v>11</v>
      </c>
      <c r="D59" t="s">
        <v>90</v>
      </c>
    </row>
    <row r="60" spans="1:14" x14ac:dyDescent="0.25">
      <c r="A60" s="3">
        <v>45771</v>
      </c>
      <c r="B60" t="s">
        <v>12</v>
      </c>
      <c r="D60" t="s">
        <v>91</v>
      </c>
    </row>
    <row r="61" spans="1:14" x14ac:dyDescent="0.25">
      <c r="A61" s="3">
        <v>45772</v>
      </c>
      <c r="B61" t="s">
        <v>13</v>
      </c>
      <c r="D61" t="s">
        <v>92</v>
      </c>
      <c r="N61" t="s">
        <v>97</v>
      </c>
    </row>
    <row r="62" spans="1:14" x14ac:dyDescent="0.25">
      <c r="A62" s="3">
        <v>45773</v>
      </c>
      <c r="B62" t="s">
        <v>35</v>
      </c>
    </row>
    <row r="63" spans="1:14" x14ac:dyDescent="0.25">
      <c r="A63" s="3">
        <v>45774</v>
      </c>
      <c r="B63" t="s">
        <v>35</v>
      </c>
    </row>
    <row r="64" spans="1:14" x14ac:dyDescent="0.25">
      <c r="A64" s="3">
        <v>45775</v>
      </c>
      <c r="B64" t="s">
        <v>93</v>
      </c>
      <c r="D64" t="s">
        <v>94</v>
      </c>
      <c r="E64" s="1">
        <v>50462.36</v>
      </c>
      <c r="F64" s="25">
        <f>E64-E58</f>
        <v>1564.760000000002</v>
      </c>
      <c r="G64" s="6" t="s">
        <v>95</v>
      </c>
      <c r="H64" s="6" t="s">
        <v>96</v>
      </c>
      <c r="I64" t="s">
        <v>99</v>
      </c>
      <c r="L64" s="21" t="s">
        <v>104</v>
      </c>
      <c r="N64" t="s">
        <v>98</v>
      </c>
    </row>
    <row r="65" spans="1:14" x14ac:dyDescent="0.25">
      <c r="A65" s="3">
        <v>45776</v>
      </c>
      <c r="B65" t="s">
        <v>100</v>
      </c>
      <c r="D65" t="s">
        <v>94</v>
      </c>
      <c r="E65" s="1">
        <v>50209.9</v>
      </c>
      <c r="F65" s="26">
        <f>E64-E65</f>
        <v>252.45999999999913</v>
      </c>
      <c r="G65" s="6" t="s">
        <v>102</v>
      </c>
      <c r="H65" s="6" t="s">
        <v>96</v>
      </c>
      <c r="I65" t="s">
        <v>101</v>
      </c>
      <c r="L65" s="7" t="s">
        <v>105</v>
      </c>
      <c r="N65" t="s">
        <v>103</v>
      </c>
    </row>
    <row r="66" spans="1:14" x14ac:dyDescent="0.25">
      <c r="A66" s="3">
        <v>45777</v>
      </c>
      <c r="B66" t="s">
        <v>106</v>
      </c>
      <c r="D66" t="s">
        <v>107</v>
      </c>
      <c r="E66" s="1">
        <v>50209.9</v>
      </c>
      <c r="N66" t="s">
        <v>108</v>
      </c>
    </row>
    <row r="67" spans="1:14" x14ac:dyDescent="0.25">
      <c r="A67" s="3">
        <v>45778</v>
      </c>
      <c r="B67" t="s">
        <v>109</v>
      </c>
      <c r="D67" t="s">
        <v>26</v>
      </c>
      <c r="E67" s="1">
        <v>50066.38</v>
      </c>
      <c r="F67" s="27">
        <f>E66-E67</f>
        <v>143.52000000000407</v>
      </c>
      <c r="G67" s="6" t="s">
        <v>45</v>
      </c>
      <c r="H67" s="6" t="s">
        <v>48</v>
      </c>
      <c r="I67" s="6" t="s">
        <v>110</v>
      </c>
      <c r="J67" s="6"/>
      <c r="L67" s="7" t="s">
        <v>111</v>
      </c>
      <c r="N67" t="s">
        <v>112</v>
      </c>
    </row>
    <row r="68" spans="1:14" x14ac:dyDescent="0.25">
      <c r="A68" s="3">
        <v>45779</v>
      </c>
      <c r="B68" t="s">
        <v>113</v>
      </c>
      <c r="D68" t="s">
        <v>26</v>
      </c>
      <c r="E68" s="1">
        <v>49756.9</v>
      </c>
      <c r="F68" s="27">
        <f>E67-E68</f>
        <v>309.47999999999593</v>
      </c>
      <c r="G68" s="6" t="s">
        <v>45</v>
      </c>
      <c r="H68" s="6" t="s">
        <v>96</v>
      </c>
      <c r="I68" s="6" t="s">
        <v>115</v>
      </c>
      <c r="J68" s="6"/>
      <c r="L68" s="7" t="s">
        <v>116</v>
      </c>
      <c r="N68" t="s">
        <v>118</v>
      </c>
    </row>
    <row r="69" spans="1:14" x14ac:dyDescent="0.25">
      <c r="A69" s="3">
        <v>45780</v>
      </c>
      <c r="B69" t="s">
        <v>35</v>
      </c>
      <c r="H69" s="6"/>
      <c r="K69" t="s">
        <v>114</v>
      </c>
      <c r="L69" s="21" t="s">
        <v>117</v>
      </c>
    </row>
    <row r="70" spans="1:14" x14ac:dyDescent="0.25">
      <c r="A70" s="3">
        <v>45781</v>
      </c>
      <c r="B70" t="s">
        <v>35</v>
      </c>
      <c r="H70" s="6"/>
    </row>
    <row r="71" spans="1:14" x14ac:dyDescent="0.25">
      <c r="A71" s="3">
        <v>45782</v>
      </c>
      <c r="B71" t="s">
        <v>93</v>
      </c>
      <c r="D71" t="s">
        <v>26</v>
      </c>
      <c r="E71" s="1">
        <v>49442.559999999998</v>
      </c>
      <c r="F71" s="27">
        <f>E68-E71</f>
        <v>314.34000000000378</v>
      </c>
      <c r="G71" s="6" t="s">
        <v>45</v>
      </c>
      <c r="H71" s="6" t="s">
        <v>48</v>
      </c>
      <c r="I71" s="6" t="s">
        <v>123</v>
      </c>
      <c r="J71" s="6"/>
      <c r="L71" s="7" t="s">
        <v>124</v>
      </c>
      <c r="N71" t="s">
        <v>125</v>
      </c>
    </row>
    <row r="72" spans="1:14" x14ac:dyDescent="0.25">
      <c r="A72" s="3">
        <v>45783</v>
      </c>
      <c r="B72" t="s">
        <v>100</v>
      </c>
      <c r="D72" t="s">
        <v>26</v>
      </c>
      <c r="E72" s="2">
        <v>50801.760000000002</v>
      </c>
      <c r="F72" s="25">
        <f>E72-E71</f>
        <v>1359.2000000000044</v>
      </c>
      <c r="G72" s="6" t="s">
        <v>49</v>
      </c>
      <c r="H72" s="6" t="s">
        <v>48</v>
      </c>
      <c r="I72" s="6" t="s">
        <v>126</v>
      </c>
      <c r="J72" s="6"/>
      <c r="L72" s="21" t="s">
        <v>127</v>
      </c>
      <c r="N72" t="s">
        <v>128</v>
      </c>
    </row>
    <row r="73" spans="1:14" x14ac:dyDescent="0.25">
      <c r="A73" s="3">
        <v>45784</v>
      </c>
      <c r="B73" t="s">
        <v>106</v>
      </c>
      <c r="D73" t="s">
        <v>26</v>
      </c>
      <c r="E73" s="2">
        <v>50700</v>
      </c>
      <c r="F73" s="27">
        <f>E72-E73</f>
        <v>101.76000000000204</v>
      </c>
      <c r="G73" s="6" t="s">
        <v>45</v>
      </c>
      <c r="H73" s="6" t="s">
        <v>48</v>
      </c>
      <c r="I73" s="6" t="s">
        <v>129</v>
      </c>
      <c r="J73" s="6"/>
      <c r="L73" s="7" t="s">
        <v>130</v>
      </c>
      <c r="N73" t="s">
        <v>131</v>
      </c>
    </row>
    <row r="74" spans="1:14" x14ac:dyDescent="0.25">
      <c r="A74" s="3">
        <v>45785</v>
      </c>
      <c r="B74" t="s">
        <v>109</v>
      </c>
      <c r="D74" t="s">
        <v>132</v>
      </c>
      <c r="E74" s="1">
        <v>50377.34</v>
      </c>
      <c r="F74" s="27">
        <f>E73-E74</f>
        <v>322.66000000000349</v>
      </c>
      <c r="G74" s="6" t="s">
        <v>133</v>
      </c>
      <c r="H74" s="6" t="s">
        <v>96</v>
      </c>
      <c r="I74" s="6" t="s">
        <v>134</v>
      </c>
      <c r="J74" s="6"/>
      <c r="L74" s="7" t="s">
        <v>135</v>
      </c>
      <c r="N74" t="s">
        <v>136</v>
      </c>
    </row>
    <row r="75" spans="1:14" x14ac:dyDescent="0.25">
      <c r="A75" s="3">
        <v>45786</v>
      </c>
      <c r="B75" t="s">
        <v>113</v>
      </c>
      <c r="D75" t="s">
        <v>26</v>
      </c>
      <c r="E75" s="1">
        <v>50209.1</v>
      </c>
      <c r="F75" s="27">
        <f>E74-E75</f>
        <v>168.23999999999796</v>
      </c>
      <c r="G75" s="6" t="s">
        <v>45</v>
      </c>
      <c r="H75" s="6" t="s">
        <v>48</v>
      </c>
      <c r="I75" s="6" t="s">
        <v>137</v>
      </c>
      <c r="J75" s="6"/>
      <c r="L75" s="7" t="s">
        <v>138</v>
      </c>
      <c r="N75" t="s">
        <v>140</v>
      </c>
    </row>
    <row r="76" spans="1:14" x14ac:dyDescent="0.25">
      <c r="A76" s="3">
        <v>45787</v>
      </c>
      <c r="B76" t="s">
        <v>35</v>
      </c>
      <c r="H76" s="6"/>
      <c r="K76" t="s">
        <v>114</v>
      </c>
      <c r="L76" s="21" t="s">
        <v>139</v>
      </c>
    </row>
    <row r="77" spans="1:14" x14ac:dyDescent="0.25">
      <c r="A77" s="3">
        <v>45788</v>
      </c>
      <c r="B77" t="s">
        <v>35</v>
      </c>
    </row>
    <row r="78" spans="1:14" x14ac:dyDescent="0.25">
      <c r="A78" s="3">
        <v>45789</v>
      </c>
      <c r="B78" t="s">
        <v>93</v>
      </c>
      <c r="D78" t="s">
        <v>94</v>
      </c>
      <c r="E78" s="1">
        <v>49878.32</v>
      </c>
      <c r="F78" s="27">
        <f>E75-E78</f>
        <v>330.77999999999884</v>
      </c>
      <c r="G78" s="6" t="s">
        <v>141</v>
      </c>
      <c r="H78" t="s">
        <v>142</v>
      </c>
      <c r="I78" s="6" t="s">
        <v>143</v>
      </c>
      <c r="J78" s="6"/>
      <c r="L78" s="7" t="s">
        <v>148</v>
      </c>
      <c r="N78" t="s">
        <v>144</v>
      </c>
    </row>
    <row r="79" spans="1:14" x14ac:dyDescent="0.25">
      <c r="A79" s="3">
        <v>45790</v>
      </c>
      <c r="B79" t="s">
        <v>100</v>
      </c>
      <c r="D79" t="s">
        <v>132</v>
      </c>
      <c r="E79" s="1">
        <v>49616.12</v>
      </c>
      <c r="F79" s="26">
        <f>E78-E79</f>
        <v>262.19999999999709</v>
      </c>
      <c r="G79" s="6" t="s">
        <v>145</v>
      </c>
      <c r="H79" t="s">
        <v>142</v>
      </c>
      <c r="I79" s="6" t="s">
        <v>146</v>
      </c>
      <c r="J79" s="6"/>
      <c r="L79" s="7" t="s">
        <v>149</v>
      </c>
      <c r="N79" t="s">
        <v>147</v>
      </c>
    </row>
    <row r="80" spans="1:14" x14ac:dyDescent="0.25">
      <c r="A80" s="3">
        <v>45791</v>
      </c>
      <c r="B80" t="s">
        <v>106</v>
      </c>
      <c r="D80" t="s">
        <v>26</v>
      </c>
      <c r="E80" s="1">
        <v>50055.8</v>
      </c>
      <c r="F80" s="25">
        <f>E80-E79</f>
        <v>439.68000000000029</v>
      </c>
      <c r="G80" s="6" t="s">
        <v>49</v>
      </c>
      <c r="H80" s="6" t="s">
        <v>150</v>
      </c>
      <c r="I80" s="6" t="s">
        <v>151</v>
      </c>
      <c r="J80" s="6"/>
      <c r="L80" s="21" t="s">
        <v>152</v>
      </c>
      <c r="N80" t="s">
        <v>153</v>
      </c>
    </row>
    <row r="81" spans="1:14" x14ac:dyDescent="0.25">
      <c r="A81" s="3">
        <v>45792</v>
      </c>
      <c r="B81" t="s">
        <v>109</v>
      </c>
      <c r="D81" t="s">
        <v>26</v>
      </c>
      <c r="E81" t="s">
        <v>40</v>
      </c>
      <c r="F81" s="7">
        <v>1400</v>
      </c>
      <c r="G81" s="6" t="s">
        <v>45</v>
      </c>
      <c r="H81" t="s">
        <v>154</v>
      </c>
      <c r="N81" t="s">
        <v>155</v>
      </c>
    </row>
    <row r="82" spans="1:14" x14ac:dyDescent="0.25">
      <c r="A82" s="3">
        <v>45793</v>
      </c>
      <c r="B82" t="s">
        <v>113</v>
      </c>
      <c r="D82" t="s">
        <v>26</v>
      </c>
      <c r="E82" s="1">
        <v>49927.64</v>
      </c>
      <c r="F82" s="7">
        <v>72.36</v>
      </c>
      <c r="G82" s="6" t="s">
        <v>45</v>
      </c>
    </row>
    <row r="83" spans="1:14" x14ac:dyDescent="0.25">
      <c r="A83" s="3">
        <v>45794</v>
      </c>
      <c r="B83" t="s">
        <v>35</v>
      </c>
    </row>
    <row r="84" spans="1:14" x14ac:dyDescent="0.25">
      <c r="A84" s="3">
        <v>45795</v>
      </c>
      <c r="B84" t="s">
        <v>35</v>
      </c>
    </row>
    <row r="85" spans="1:14" x14ac:dyDescent="0.25">
      <c r="A85" s="3">
        <v>45796</v>
      </c>
      <c r="B85" t="s">
        <v>9</v>
      </c>
      <c r="D85" t="s">
        <v>156</v>
      </c>
      <c r="E85" s="1">
        <v>49927.64</v>
      </c>
    </row>
    <row r="86" spans="1:14" x14ac:dyDescent="0.25">
      <c r="A86" s="3">
        <v>45797</v>
      </c>
      <c r="B86" t="s">
        <v>10</v>
      </c>
      <c r="D86" t="s">
        <v>156</v>
      </c>
      <c r="E86">
        <v>49760.74</v>
      </c>
      <c r="G86" s="7" t="s">
        <v>45</v>
      </c>
      <c r="H86" t="s">
        <v>160</v>
      </c>
    </row>
    <row r="87" spans="1:14" x14ac:dyDescent="0.25">
      <c r="A87" s="3">
        <v>45798</v>
      </c>
      <c r="B87" t="s">
        <v>11</v>
      </c>
      <c r="D87" t="s">
        <v>157</v>
      </c>
      <c r="E87">
        <v>49760.74</v>
      </c>
    </row>
    <row r="88" spans="1:14" x14ac:dyDescent="0.25">
      <c r="A88" s="3">
        <v>45799</v>
      </c>
      <c r="B88" t="s">
        <v>12</v>
      </c>
      <c r="D88" t="s">
        <v>156</v>
      </c>
      <c r="E88">
        <v>49760.74</v>
      </c>
    </row>
    <row r="89" spans="1:14" x14ac:dyDescent="0.25">
      <c r="A89" s="3">
        <v>45800</v>
      </c>
      <c r="B89" t="s">
        <v>13</v>
      </c>
      <c r="D89" t="s">
        <v>158</v>
      </c>
      <c r="E89">
        <v>49760.74</v>
      </c>
      <c r="N89" t="s">
        <v>161</v>
      </c>
    </row>
    <row r="90" spans="1:14" x14ac:dyDescent="0.25">
      <c r="A90" s="3">
        <v>45801</v>
      </c>
      <c r="B90" t="s">
        <v>35</v>
      </c>
    </row>
    <row r="91" spans="1:14" x14ac:dyDescent="0.25">
      <c r="A91" s="3">
        <v>45802</v>
      </c>
      <c r="B91" t="s">
        <v>35</v>
      </c>
    </row>
    <row r="92" spans="1:14" x14ac:dyDescent="0.25">
      <c r="A92" s="3">
        <v>45803</v>
      </c>
      <c r="B92" t="s">
        <v>9</v>
      </c>
    </row>
    <row r="93" spans="1:14" x14ac:dyDescent="0.25">
      <c r="A93" s="3">
        <v>45804</v>
      </c>
      <c r="B93" t="s">
        <v>100</v>
      </c>
      <c r="D93" t="s">
        <v>162</v>
      </c>
      <c r="E93">
        <v>48414.080000000002</v>
      </c>
      <c r="F93" s="33">
        <f>E89-E93</f>
        <v>1346.6599999999962</v>
      </c>
      <c r="G93" t="s">
        <v>163</v>
      </c>
      <c r="H93" t="s">
        <v>164</v>
      </c>
      <c r="N93" t="s">
        <v>165</v>
      </c>
    </row>
    <row r="94" spans="1:14" x14ac:dyDescent="0.25">
      <c r="A94" s="3">
        <v>45805</v>
      </c>
      <c r="B94" t="s">
        <v>106</v>
      </c>
      <c r="D94" t="s">
        <v>94</v>
      </c>
      <c r="E94">
        <v>48024.98</v>
      </c>
      <c r="F94" s="7">
        <f>E93-E94</f>
        <v>389.09999999999854</v>
      </c>
      <c r="G94" t="s">
        <v>166</v>
      </c>
      <c r="H94" s="6" t="s">
        <v>96</v>
      </c>
      <c r="I94" t="s">
        <v>167</v>
      </c>
      <c r="L94" s="7">
        <f>389.1/200</f>
        <v>1.9455</v>
      </c>
      <c r="N94" t="s">
        <v>168</v>
      </c>
    </row>
    <row r="95" spans="1:14" x14ac:dyDescent="0.25">
      <c r="A95" s="3">
        <v>45806</v>
      </c>
      <c r="B95" t="s">
        <v>109</v>
      </c>
    </row>
    <row r="96" spans="1:14" x14ac:dyDescent="0.25">
      <c r="A96" s="3">
        <v>45807</v>
      </c>
      <c r="B96" t="s">
        <v>113</v>
      </c>
    </row>
    <row r="97" spans="1:14" x14ac:dyDescent="0.25">
      <c r="A97" s="3">
        <v>45808</v>
      </c>
      <c r="B97" t="s">
        <v>35</v>
      </c>
    </row>
    <row r="98" spans="1:14" x14ac:dyDescent="0.25">
      <c r="A98" s="3">
        <v>45809</v>
      </c>
      <c r="B98" t="s">
        <v>35</v>
      </c>
    </row>
    <row r="99" spans="1:14" x14ac:dyDescent="0.25">
      <c r="A99" s="3">
        <v>45810</v>
      </c>
      <c r="B99" t="s">
        <v>9</v>
      </c>
      <c r="D99" t="s">
        <v>156</v>
      </c>
    </row>
    <row r="100" spans="1:14" x14ac:dyDescent="0.25">
      <c r="A100" s="3">
        <v>45811</v>
      </c>
      <c r="B100" t="s">
        <v>10</v>
      </c>
      <c r="D100" t="s">
        <v>94</v>
      </c>
      <c r="G100" t="s">
        <v>166</v>
      </c>
    </row>
    <row r="101" spans="1:14" x14ac:dyDescent="0.25">
      <c r="A101" s="3">
        <v>45812</v>
      </c>
      <c r="B101" t="s">
        <v>106</v>
      </c>
      <c r="D101" t="s">
        <v>94</v>
      </c>
      <c r="G101" t="s">
        <v>169</v>
      </c>
    </row>
    <row r="102" spans="1:14" x14ac:dyDescent="0.25">
      <c r="A102" s="3">
        <v>45813</v>
      </c>
      <c r="B102" t="s">
        <v>109</v>
      </c>
    </row>
    <row r="103" spans="1:14" x14ac:dyDescent="0.25">
      <c r="A103" s="3">
        <v>45814</v>
      </c>
      <c r="B103" t="s">
        <v>113</v>
      </c>
    </row>
    <row r="104" spans="1:14" x14ac:dyDescent="0.25">
      <c r="A104" s="3">
        <v>45815</v>
      </c>
      <c r="B104" t="s">
        <v>35</v>
      </c>
    </row>
    <row r="105" spans="1:14" x14ac:dyDescent="0.25">
      <c r="A105" s="3">
        <v>45816</v>
      </c>
      <c r="B105" t="s">
        <v>35</v>
      </c>
    </row>
    <row r="106" spans="1:14" x14ac:dyDescent="0.25">
      <c r="A106" s="3">
        <v>45817</v>
      </c>
      <c r="B106" t="s">
        <v>93</v>
      </c>
      <c r="D106" t="s">
        <v>175</v>
      </c>
      <c r="E106">
        <v>50139</v>
      </c>
      <c r="F106" s="21">
        <v>139</v>
      </c>
      <c r="G106" t="s">
        <v>176</v>
      </c>
      <c r="H106" t="s">
        <v>177</v>
      </c>
      <c r="I106" s="6" t="s">
        <v>178</v>
      </c>
      <c r="J106" s="6"/>
      <c r="L106" s="6" t="s">
        <v>179</v>
      </c>
      <c r="N106" t="s">
        <v>180</v>
      </c>
    </row>
    <row r="107" spans="1:14" x14ac:dyDescent="0.25">
      <c r="A107" s="3">
        <v>45818</v>
      </c>
      <c r="B107" t="s">
        <v>100</v>
      </c>
      <c r="D107" t="s">
        <v>26</v>
      </c>
      <c r="E107" s="2">
        <v>50040</v>
      </c>
      <c r="G107" t="s">
        <v>181</v>
      </c>
      <c r="H107" t="s">
        <v>183</v>
      </c>
    </row>
    <row r="108" spans="1:14" x14ac:dyDescent="0.25">
      <c r="A108" s="3">
        <v>45819</v>
      </c>
      <c r="B108" t="s">
        <v>106</v>
      </c>
      <c r="D108" t="s">
        <v>94</v>
      </c>
      <c r="E108" s="2">
        <v>49483</v>
      </c>
      <c r="G108" t="s">
        <v>102</v>
      </c>
      <c r="H108" t="s">
        <v>182</v>
      </c>
      <c r="N108" t="s">
        <v>184</v>
      </c>
    </row>
    <row r="109" spans="1:14" x14ac:dyDescent="0.25">
      <c r="A109" s="3">
        <v>45820</v>
      </c>
      <c r="B109" t="s">
        <v>109</v>
      </c>
      <c r="D109" t="s">
        <v>185</v>
      </c>
    </row>
    <row r="110" spans="1:14" x14ac:dyDescent="0.25">
      <c r="A110" s="3">
        <v>45821</v>
      </c>
      <c r="B110" t="s">
        <v>113</v>
      </c>
      <c r="D110" t="s">
        <v>186</v>
      </c>
    </row>
    <row r="111" spans="1:14" x14ac:dyDescent="0.25">
      <c r="A111" s="3">
        <v>45822</v>
      </c>
      <c r="B111" t="s">
        <v>35</v>
      </c>
    </row>
    <row r="112" spans="1:14" x14ac:dyDescent="0.25">
      <c r="A112" s="3">
        <v>45823</v>
      </c>
      <c r="B112" t="s">
        <v>35</v>
      </c>
    </row>
    <row r="113" spans="1:14" x14ac:dyDescent="0.25">
      <c r="A113" s="3">
        <v>45824</v>
      </c>
      <c r="B113" t="s">
        <v>93</v>
      </c>
      <c r="D113" t="s">
        <v>187</v>
      </c>
      <c r="E113" s="1">
        <v>49006.68</v>
      </c>
      <c r="N113" t="s">
        <v>188</v>
      </c>
    </row>
    <row r="114" spans="1:14" x14ac:dyDescent="0.25">
      <c r="A114" s="3">
        <v>45825</v>
      </c>
      <c r="B114" t="s">
        <v>100</v>
      </c>
      <c r="D114" t="s">
        <v>132</v>
      </c>
      <c r="E114">
        <v>48420.26</v>
      </c>
      <c r="F114" s="26">
        <f>E113-E114</f>
        <v>586.41999999999825</v>
      </c>
      <c r="G114" t="s">
        <v>189</v>
      </c>
      <c r="H114" t="s">
        <v>190</v>
      </c>
      <c r="N114" t="s">
        <v>191</v>
      </c>
    </row>
    <row r="115" spans="1:14" x14ac:dyDescent="0.25">
      <c r="A115" s="3">
        <v>45826</v>
      </c>
      <c r="B115" t="s">
        <v>106</v>
      </c>
      <c r="D115" t="s">
        <v>94</v>
      </c>
      <c r="E115" s="1">
        <v>48285.14</v>
      </c>
      <c r="F115" s="27">
        <f>E114-E115</f>
        <v>135.12000000000262</v>
      </c>
      <c r="G115" t="s">
        <v>205</v>
      </c>
      <c r="H115" t="s">
        <v>207</v>
      </c>
      <c r="I115" t="s">
        <v>206</v>
      </c>
      <c r="N115" t="s">
        <v>209</v>
      </c>
    </row>
    <row r="116" spans="1:14" x14ac:dyDescent="0.25">
      <c r="A116" s="3">
        <v>45827</v>
      </c>
      <c r="B116" t="s">
        <v>109</v>
      </c>
      <c r="D116" t="s">
        <v>94</v>
      </c>
      <c r="E116" s="2">
        <v>49061</v>
      </c>
      <c r="F116" s="25">
        <f>E116-E115</f>
        <v>775.86000000000058</v>
      </c>
      <c r="G116" t="s">
        <v>208</v>
      </c>
      <c r="H116" t="s">
        <v>207</v>
      </c>
      <c r="I116" t="s">
        <v>167</v>
      </c>
      <c r="N116" t="s">
        <v>210</v>
      </c>
    </row>
    <row r="117" spans="1:14" x14ac:dyDescent="0.25">
      <c r="A117" s="3">
        <v>45828</v>
      </c>
      <c r="B117" t="s">
        <v>113</v>
      </c>
      <c r="D117" t="s">
        <v>211</v>
      </c>
      <c r="E117" t="s">
        <v>40</v>
      </c>
      <c r="F117" s="33" t="s">
        <v>212</v>
      </c>
      <c r="G117" t="s">
        <v>213</v>
      </c>
      <c r="H117" t="s">
        <v>183</v>
      </c>
      <c r="I117" t="s">
        <v>214</v>
      </c>
      <c r="N117" t="s">
        <v>215</v>
      </c>
    </row>
    <row r="118" spans="1:14" x14ac:dyDescent="0.25">
      <c r="A118" s="3">
        <v>45829</v>
      </c>
      <c r="B118" t="s">
        <v>35</v>
      </c>
    </row>
    <row r="119" spans="1:14" x14ac:dyDescent="0.25">
      <c r="A119" s="3">
        <v>45830</v>
      </c>
      <c r="B119" t="s">
        <v>35</v>
      </c>
    </row>
    <row r="120" spans="1:14" x14ac:dyDescent="0.25">
      <c r="A120" s="3">
        <v>45831</v>
      </c>
      <c r="B120" t="s">
        <v>93</v>
      </c>
      <c r="D120" t="s">
        <v>26</v>
      </c>
      <c r="E120">
        <v>49917.58</v>
      </c>
      <c r="F120" s="7">
        <v>82.42</v>
      </c>
      <c r="G120" t="s">
        <v>219</v>
      </c>
      <c r="H120" t="s">
        <v>220</v>
      </c>
      <c r="I120" t="s">
        <v>216</v>
      </c>
      <c r="L120" s="49">
        <f>82.42/200</f>
        <v>0.41210000000000002</v>
      </c>
      <c r="N120" t="s">
        <v>218</v>
      </c>
    </row>
    <row r="121" spans="1:14" x14ac:dyDescent="0.25">
      <c r="A121" s="3">
        <v>45832</v>
      </c>
      <c r="B121" t="s">
        <v>100</v>
      </c>
      <c r="D121" t="s">
        <v>221</v>
      </c>
      <c r="E121">
        <v>49195.18</v>
      </c>
      <c r="F121" s="19">
        <f>E120-E121</f>
        <v>722.40000000000146</v>
      </c>
      <c r="G121" t="s">
        <v>234</v>
      </c>
      <c r="L121" s="49">
        <f>722.4/200</f>
        <v>3.6120000000000001</v>
      </c>
      <c r="N121" t="s">
        <v>222</v>
      </c>
    </row>
    <row r="122" spans="1:14" x14ac:dyDescent="0.25">
      <c r="A122" s="3">
        <v>45833</v>
      </c>
      <c r="B122" t="s">
        <v>106</v>
      </c>
      <c r="D122" t="s">
        <v>26</v>
      </c>
      <c r="E122" s="1">
        <v>49752.7</v>
      </c>
      <c r="F122" s="25">
        <f>E122-E121</f>
        <v>557.5199999999968</v>
      </c>
      <c r="G122" t="s">
        <v>49</v>
      </c>
      <c r="H122" t="s">
        <v>183</v>
      </c>
      <c r="I122" t="s">
        <v>223</v>
      </c>
      <c r="L122" s="47">
        <f>557.52/200</f>
        <v>2.7875999999999999</v>
      </c>
      <c r="N122" t="s">
        <v>224</v>
      </c>
    </row>
    <row r="123" spans="1:14" x14ac:dyDescent="0.25">
      <c r="A123" s="3">
        <v>45834</v>
      </c>
      <c r="B123" t="s">
        <v>109</v>
      </c>
      <c r="D123" t="s">
        <v>225</v>
      </c>
      <c r="E123" s="1">
        <v>50082.26</v>
      </c>
      <c r="F123" s="13">
        <f>E123-E122</f>
        <v>329.56000000000495</v>
      </c>
      <c r="G123" t="s">
        <v>226</v>
      </c>
      <c r="H123" t="s">
        <v>227</v>
      </c>
      <c r="L123" s="47">
        <f>329.56/200</f>
        <v>1.6477999999999999</v>
      </c>
      <c r="N123" t="s">
        <v>228</v>
      </c>
    </row>
    <row r="124" spans="1:14" x14ac:dyDescent="0.25">
      <c r="A124" s="3">
        <v>45835</v>
      </c>
      <c r="B124" t="s">
        <v>113</v>
      </c>
      <c r="D124" t="s">
        <v>26</v>
      </c>
      <c r="E124" s="1">
        <v>51101.54</v>
      </c>
      <c r="F124" s="25">
        <f>E124-E123</f>
        <v>1019.2799999999988</v>
      </c>
      <c r="G124" t="s">
        <v>231</v>
      </c>
      <c r="H124" t="s">
        <v>150</v>
      </c>
      <c r="I124" t="s">
        <v>229</v>
      </c>
      <c r="L124" s="47">
        <f>1019.28/200</f>
        <v>5.0964</v>
      </c>
    </row>
    <row r="125" spans="1:14" x14ac:dyDescent="0.25">
      <c r="A125" s="3">
        <v>45836</v>
      </c>
      <c r="B125" t="s">
        <v>35</v>
      </c>
      <c r="E125" s="1"/>
      <c r="F125">
        <f>557.52/(20*23.75)</f>
        <v>1.1737263157894737</v>
      </c>
      <c r="K125" t="s">
        <v>232</v>
      </c>
      <c r="L125" s="47">
        <f>L124+L123+L122-L121-L120</f>
        <v>5.5077000000000007</v>
      </c>
      <c r="M125" s="20" t="s">
        <v>235</v>
      </c>
    </row>
    <row r="126" spans="1:14" x14ac:dyDescent="0.25">
      <c r="A126" s="3">
        <v>45837</v>
      </c>
      <c r="B126" t="s">
        <v>35</v>
      </c>
      <c r="K126" s="31">
        <f>200*L125</f>
        <v>1101.5400000000002</v>
      </c>
      <c r="L126" s="50"/>
      <c r="N126" t="s">
        <v>233</v>
      </c>
    </row>
    <row r="127" spans="1:14" x14ac:dyDescent="0.25">
      <c r="A127" s="3">
        <v>45838</v>
      </c>
      <c r="B127" t="s">
        <v>93</v>
      </c>
      <c r="E127">
        <v>51509.54</v>
      </c>
      <c r="F127" s="25">
        <f>E128-E124</f>
        <v>408</v>
      </c>
      <c r="G127" t="s">
        <v>49</v>
      </c>
      <c r="H127" t="s">
        <v>183</v>
      </c>
      <c r="L127" s="47">
        <f>408/200</f>
        <v>2.04</v>
      </c>
    </row>
    <row r="128" spans="1:14" x14ac:dyDescent="0.25">
      <c r="A128" s="3">
        <v>45839</v>
      </c>
      <c r="B128" t="s">
        <v>100</v>
      </c>
      <c r="D128" t="s">
        <v>107</v>
      </c>
      <c r="E128">
        <v>51509.54</v>
      </c>
      <c r="L128" s="50">
        <v>0</v>
      </c>
      <c r="N128" t="s">
        <v>238</v>
      </c>
    </row>
    <row r="129" spans="1:14" x14ac:dyDescent="0.25">
      <c r="A129" s="3">
        <v>45840</v>
      </c>
      <c r="B129" t="s">
        <v>106</v>
      </c>
      <c r="D129" t="s">
        <v>242</v>
      </c>
      <c r="E129">
        <f>50932.44</f>
        <v>50932.44</v>
      </c>
      <c r="F129" s="33">
        <f>(E129-E128)*-1</f>
        <v>577.09999999999854</v>
      </c>
      <c r="G129" t="s">
        <v>239</v>
      </c>
      <c r="H129" t="s">
        <v>240</v>
      </c>
      <c r="L129" s="48">
        <f>577.1/200</f>
        <v>2.8855</v>
      </c>
      <c r="N129" t="s">
        <v>241</v>
      </c>
    </row>
    <row r="130" spans="1:14" x14ac:dyDescent="0.25">
      <c r="A130" s="3">
        <v>45841</v>
      </c>
      <c r="B130" t="s">
        <v>12</v>
      </c>
      <c r="D130" t="s">
        <v>248</v>
      </c>
      <c r="E130">
        <v>50518.62</v>
      </c>
      <c r="F130" s="7">
        <f>E129-E130</f>
        <v>413.81999999999971</v>
      </c>
      <c r="G130" t="s">
        <v>249</v>
      </c>
      <c r="H130" t="s">
        <v>250</v>
      </c>
      <c r="L130" s="48">
        <f>413.82/200</f>
        <v>2.0691000000000002</v>
      </c>
    </row>
    <row r="131" spans="1:14" x14ac:dyDescent="0.25">
      <c r="A131" s="3">
        <v>45842</v>
      </c>
      <c r="B131" t="s">
        <v>113</v>
      </c>
      <c r="D131" t="s">
        <v>252</v>
      </c>
      <c r="K131" t="s">
        <v>232</v>
      </c>
      <c r="L131" s="48">
        <f>(L127-L129-L130)*-1</f>
        <v>2.9146000000000001</v>
      </c>
    </row>
    <row r="132" spans="1:14" x14ac:dyDescent="0.25">
      <c r="A132" s="3">
        <v>45843</v>
      </c>
      <c r="B132" t="s">
        <v>35</v>
      </c>
      <c r="K132" s="37">
        <f>L131*200</f>
        <v>582.92000000000007</v>
      </c>
      <c r="L132" s="50"/>
      <c r="N132" t="s">
        <v>251</v>
      </c>
    </row>
    <row r="133" spans="1:14" x14ac:dyDescent="0.25">
      <c r="A133" s="3">
        <v>45844</v>
      </c>
      <c r="B133" t="s">
        <v>35</v>
      </c>
      <c r="L133" s="50"/>
    </row>
    <row r="134" spans="1:14" x14ac:dyDescent="0.25">
      <c r="A134" s="3">
        <v>45845</v>
      </c>
      <c r="B134" t="s">
        <v>93</v>
      </c>
      <c r="D134" t="s">
        <v>26</v>
      </c>
      <c r="E134" s="1">
        <v>50369.68</v>
      </c>
      <c r="F134" s="27">
        <f>E130-E134</f>
        <v>148.94000000000233</v>
      </c>
      <c r="G134" t="s">
        <v>45</v>
      </c>
      <c r="H134" t="s">
        <v>183</v>
      </c>
      <c r="L134" s="48">
        <f>148.94/200</f>
        <v>0.74470000000000003</v>
      </c>
    </row>
    <row r="135" spans="1:14" x14ac:dyDescent="0.25">
      <c r="A135" s="3">
        <v>45846</v>
      </c>
      <c r="B135" t="s">
        <v>100</v>
      </c>
      <c r="D135" t="s">
        <v>26</v>
      </c>
      <c r="E135" s="1">
        <v>50076.86</v>
      </c>
      <c r="F135" s="27">
        <f>E134-E135</f>
        <v>292.81999999999971</v>
      </c>
      <c r="G135" t="s">
        <v>45</v>
      </c>
      <c r="H135" t="s">
        <v>207</v>
      </c>
      <c r="L135" s="48">
        <f>292.82/200</f>
        <v>1.4641</v>
      </c>
      <c r="N135" t="s">
        <v>253</v>
      </c>
    </row>
    <row r="136" spans="1:14" x14ac:dyDescent="0.25">
      <c r="A136" s="3">
        <v>45847</v>
      </c>
      <c r="B136" t="s">
        <v>254</v>
      </c>
      <c r="D136" t="s">
        <v>255</v>
      </c>
      <c r="E136">
        <v>48400</v>
      </c>
      <c r="F136" s="20" t="s">
        <v>256</v>
      </c>
      <c r="G136" t="s">
        <v>257</v>
      </c>
      <c r="H136" t="s">
        <v>177</v>
      </c>
      <c r="N136" t="s">
        <v>258</v>
      </c>
    </row>
    <row r="137" spans="1:14" x14ac:dyDescent="0.25">
      <c r="A137" s="3">
        <v>45848</v>
      </c>
      <c r="B137" t="s">
        <v>274</v>
      </c>
      <c r="D137" t="s">
        <v>107</v>
      </c>
      <c r="E137">
        <v>50000</v>
      </c>
      <c r="F137" t="s">
        <v>277</v>
      </c>
    </row>
    <row r="138" spans="1:14" x14ac:dyDescent="0.25">
      <c r="A138" s="3">
        <v>45849</v>
      </c>
      <c r="B138" t="s">
        <v>113</v>
      </c>
      <c r="D138" t="s">
        <v>275</v>
      </c>
      <c r="E138">
        <v>50000</v>
      </c>
      <c r="F138" t="s">
        <v>277</v>
      </c>
    </row>
    <row r="139" spans="1:14" x14ac:dyDescent="0.25">
      <c r="A139" s="3">
        <v>45850</v>
      </c>
      <c r="B139" t="s">
        <v>35</v>
      </c>
    </row>
    <row r="140" spans="1:14" x14ac:dyDescent="0.25">
      <c r="A140" s="3">
        <v>45851</v>
      </c>
      <c r="B140" t="s">
        <v>35</v>
      </c>
    </row>
    <row r="141" spans="1:14" x14ac:dyDescent="0.25">
      <c r="A141" s="3">
        <v>45852</v>
      </c>
      <c r="B141" t="s">
        <v>93</v>
      </c>
      <c r="D141" t="s">
        <v>94</v>
      </c>
      <c r="E141">
        <v>49489.2</v>
      </c>
      <c r="F141" s="7" t="e" cm="1">
        <f t="array" ref="F141">E138-E141+F159F141:F158F141:F159D209F141:F189F141:F160F141:F161F141:F162F141:F163F141:F164F141:F165F141:F166F141:F167F141:F168F141:F169F141:F168F141:F171F141:F174F141:F177F141:F180F141:F177F141:F176F141:F175D209F141:F189F141:F174F141:F173F141:F172F141:F173F141:F174F141:F175F141:F176F141:F177F141:F178F141:F179F141:F180F141:F181F141:F180</f>
        <v>#NAME?</v>
      </c>
      <c r="G141" t="s">
        <v>102</v>
      </c>
      <c r="H141" t="s">
        <v>207</v>
      </c>
      <c r="L141" s="48">
        <f>510.8/200</f>
        <v>2.5540000000000003</v>
      </c>
      <c r="N141" t="s">
        <v>276</v>
      </c>
    </row>
    <row r="142" spans="1:14" x14ac:dyDescent="0.25">
      <c r="A142" s="3">
        <v>45853</v>
      </c>
      <c r="B142" t="s">
        <v>100</v>
      </c>
      <c r="D142" t="s">
        <v>278</v>
      </c>
      <c r="E142">
        <v>50000.26</v>
      </c>
      <c r="F142" s="21">
        <f>E142-E141</f>
        <v>511.06000000000495</v>
      </c>
      <c r="G142" t="s">
        <v>49</v>
      </c>
      <c r="H142" t="s">
        <v>183</v>
      </c>
      <c r="L142" s="47">
        <f>F142/200</f>
        <v>2.5553000000000248</v>
      </c>
      <c r="N142" t="s">
        <v>279</v>
      </c>
    </row>
    <row r="143" spans="1:14" x14ac:dyDescent="0.25">
      <c r="A143" s="3">
        <v>45854</v>
      </c>
      <c r="B143" t="s">
        <v>106</v>
      </c>
      <c r="D143" t="s">
        <v>26</v>
      </c>
      <c r="E143">
        <v>50929.22</v>
      </c>
      <c r="F143" s="21">
        <f>E143-E142</f>
        <v>928.95999999999913</v>
      </c>
      <c r="G143" t="s">
        <v>49</v>
      </c>
      <c r="H143" t="s">
        <v>183</v>
      </c>
      <c r="L143" s="47">
        <f>F143/200</f>
        <v>4.6447999999999956</v>
      </c>
      <c r="N143" t="s">
        <v>280</v>
      </c>
    </row>
    <row r="144" spans="1:14" x14ac:dyDescent="0.25">
      <c r="A144" s="3">
        <v>45855</v>
      </c>
      <c r="B144" t="s">
        <v>109</v>
      </c>
      <c r="D144" t="s">
        <v>94</v>
      </c>
      <c r="E144" s="1">
        <v>52020.38</v>
      </c>
      <c r="F144" s="25">
        <f>E144-E143</f>
        <v>1091.1599999999962</v>
      </c>
      <c r="G144" t="s">
        <v>281</v>
      </c>
      <c r="H144" t="s">
        <v>282</v>
      </c>
      <c r="L144" s="47">
        <f>F144/200</f>
        <v>5.4557999999999813</v>
      </c>
      <c r="N144" t="s">
        <v>283</v>
      </c>
    </row>
    <row r="145" spans="1:14" x14ac:dyDescent="0.25">
      <c r="A145" s="3">
        <v>45856</v>
      </c>
      <c r="B145" t="s">
        <v>113</v>
      </c>
      <c r="D145" t="s">
        <v>225</v>
      </c>
      <c r="E145">
        <v>51889.54</v>
      </c>
      <c r="F145" s="27">
        <f>E144-E145</f>
        <v>130.83999999999651</v>
      </c>
      <c r="G145" t="s">
        <v>284</v>
      </c>
      <c r="H145" t="s">
        <v>182</v>
      </c>
      <c r="L145" s="48">
        <f>130.84/200</f>
        <v>0.6542</v>
      </c>
      <c r="M145" s="36">
        <f>SUM(L142:L144)/(L141 + L145)</f>
        <v>3.944860046131788</v>
      </c>
      <c r="N145" s="20" t="s">
        <v>304</v>
      </c>
    </row>
    <row r="146" spans="1:14" x14ac:dyDescent="0.25">
      <c r="A146" s="3">
        <v>45857</v>
      </c>
      <c r="B146" t="s">
        <v>35</v>
      </c>
      <c r="K146" s="20" t="s">
        <v>232</v>
      </c>
      <c r="L146" s="47">
        <f>SUM(L142:L144) - (L141 + L145)</f>
        <v>9.4477000000000029</v>
      </c>
      <c r="M146" s="20" t="s">
        <v>296</v>
      </c>
    </row>
    <row r="147" spans="1:14" x14ac:dyDescent="0.25">
      <c r="A147" s="3">
        <v>45858</v>
      </c>
      <c r="B147" t="s">
        <v>35</v>
      </c>
      <c r="K147" s="38">
        <f>200*L146</f>
        <v>1889.5400000000006</v>
      </c>
      <c r="L147" s="81">
        <f>K147/50000</f>
        <v>3.7790800000000013E-2</v>
      </c>
      <c r="M147" s="20" t="s">
        <v>297</v>
      </c>
      <c r="N147" t="s">
        <v>285</v>
      </c>
    </row>
    <row r="148" spans="1:14" x14ac:dyDescent="0.25">
      <c r="A148" s="3">
        <v>45859</v>
      </c>
      <c r="B148" t="s">
        <v>93</v>
      </c>
      <c r="D148" t="s">
        <v>26</v>
      </c>
      <c r="E148">
        <v>52529.48</v>
      </c>
      <c r="F148" s="21">
        <f>E148-E145</f>
        <v>639.94000000000233</v>
      </c>
      <c r="G148" t="s">
        <v>302</v>
      </c>
      <c r="H148" t="s">
        <v>303</v>
      </c>
      <c r="I148" s="4" t="s">
        <v>306</v>
      </c>
      <c r="J148" s="4"/>
      <c r="L148" s="47">
        <f>F148/200</f>
        <v>3.1997000000000115</v>
      </c>
      <c r="N148" t="s">
        <v>305</v>
      </c>
    </row>
    <row r="149" spans="1:14" x14ac:dyDescent="0.25">
      <c r="A149" s="3">
        <v>45860</v>
      </c>
      <c r="B149" t="s">
        <v>100</v>
      </c>
      <c r="D149" t="s">
        <v>94</v>
      </c>
      <c r="E149">
        <v>52110.26</v>
      </c>
      <c r="F149" s="7">
        <f>E148-E149</f>
        <v>419.22000000000116</v>
      </c>
      <c r="G149" t="s">
        <v>102</v>
      </c>
      <c r="H149" t="s">
        <v>182</v>
      </c>
      <c r="I149" s="42" t="s">
        <v>312</v>
      </c>
      <c r="J149" s="42"/>
      <c r="K149" s="39">
        <f>53032.42/50000 -1</f>
        <v>6.0648400000000047E-2</v>
      </c>
      <c r="L149" s="49">
        <f>419.22/200</f>
        <v>2.0961000000000003</v>
      </c>
      <c r="N149" t="s">
        <v>307</v>
      </c>
    </row>
    <row r="150" spans="1:14" x14ac:dyDescent="0.25">
      <c r="A150" s="3">
        <v>45861</v>
      </c>
      <c r="B150" t="s">
        <v>106</v>
      </c>
      <c r="C150" t="s">
        <v>340</v>
      </c>
      <c r="D150" t="s">
        <v>94</v>
      </c>
      <c r="E150">
        <v>53032.42</v>
      </c>
      <c r="F150" s="41">
        <f>E150-E149</f>
        <v>922.15999999999622</v>
      </c>
      <c r="G150" t="s">
        <v>310</v>
      </c>
      <c r="H150" t="s">
        <v>207</v>
      </c>
      <c r="I150" s="44" t="s">
        <v>321</v>
      </c>
      <c r="J150" s="44"/>
      <c r="K150" s="38">
        <f>L148-L149+L150</f>
        <v>5.7144000000000119</v>
      </c>
      <c r="L150" s="47">
        <f>922.16/200</f>
        <v>4.6108000000000002</v>
      </c>
      <c r="N150" t="s">
        <v>309</v>
      </c>
    </row>
    <row r="151" spans="1:14" x14ac:dyDescent="0.25">
      <c r="A151" s="3">
        <v>45862</v>
      </c>
      <c r="B151" t="s">
        <v>109</v>
      </c>
      <c r="C151" t="s">
        <v>320</v>
      </c>
      <c r="D151" t="s">
        <v>94</v>
      </c>
      <c r="E151" s="42">
        <v>49141.38</v>
      </c>
      <c r="F151" s="7">
        <f>E137-E151</f>
        <v>858.62000000000262</v>
      </c>
      <c r="G151" t="s">
        <v>322</v>
      </c>
      <c r="H151" t="s">
        <v>323</v>
      </c>
      <c r="L151" s="6">
        <f>858.62/200</f>
        <v>4.2930999999999999</v>
      </c>
      <c r="N151" t="s">
        <v>324</v>
      </c>
    </row>
    <row r="152" spans="1:14" x14ac:dyDescent="0.25">
      <c r="A152" s="3">
        <v>45863</v>
      </c>
      <c r="B152" t="s">
        <v>113</v>
      </c>
      <c r="C152" t="s">
        <v>325</v>
      </c>
      <c r="D152" t="s">
        <v>326</v>
      </c>
      <c r="E152">
        <v>49743.08</v>
      </c>
      <c r="F152" s="7">
        <f>E138-E152</f>
        <v>256.91999999999825</v>
      </c>
      <c r="G152" t="s">
        <v>102</v>
      </c>
      <c r="H152" t="s">
        <v>207</v>
      </c>
      <c r="I152" t="s">
        <v>311</v>
      </c>
      <c r="L152" s="48">
        <f>F152/200</f>
        <v>1.2845999999999913</v>
      </c>
    </row>
    <row r="153" spans="1:14" x14ac:dyDescent="0.25">
      <c r="A153" s="3">
        <v>45864</v>
      </c>
      <c r="B153" t="s">
        <v>35</v>
      </c>
    </row>
    <row r="154" spans="1:14" x14ac:dyDescent="0.25">
      <c r="A154" s="3">
        <v>45865</v>
      </c>
      <c r="B154" t="s">
        <v>35</v>
      </c>
      <c r="C154" t="s">
        <v>229</v>
      </c>
    </row>
    <row r="155" spans="1:14" x14ac:dyDescent="0.25">
      <c r="A155" s="3">
        <v>45866</v>
      </c>
      <c r="B155" t="s">
        <v>93</v>
      </c>
      <c r="C155" t="s">
        <v>320</v>
      </c>
      <c r="D155" t="s">
        <v>26</v>
      </c>
      <c r="E155" t="s">
        <v>40</v>
      </c>
      <c r="N155" t="s">
        <v>328</v>
      </c>
    </row>
    <row r="156" spans="1:14" x14ac:dyDescent="0.25">
      <c r="A156" s="3">
        <v>45867</v>
      </c>
      <c r="B156" t="s">
        <v>100</v>
      </c>
      <c r="C156" t="s">
        <v>325</v>
      </c>
      <c r="D156" t="s">
        <v>26</v>
      </c>
      <c r="E156" s="1">
        <v>50406.82</v>
      </c>
      <c r="F156" s="13">
        <f>E156-E152</f>
        <v>663.73999999999796</v>
      </c>
      <c r="G156" t="s">
        <v>329</v>
      </c>
      <c r="H156" t="s">
        <v>183</v>
      </c>
      <c r="I156" t="s">
        <v>351</v>
      </c>
      <c r="L156" s="46">
        <f>663.74/200</f>
        <v>3.3187000000000002</v>
      </c>
    </row>
    <row r="157" spans="1:14" x14ac:dyDescent="0.25">
      <c r="A157" s="3">
        <v>45868</v>
      </c>
      <c r="B157" t="s">
        <v>106</v>
      </c>
      <c r="C157" t="s">
        <v>331</v>
      </c>
      <c r="D157" t="s">
        <v>332</v>
      </c>
      <c r="E157" s="1">
        <v>51191.78</v>
      </c>
      <c r="F157" s="25">
        <f>E157-E156</f>
        <v>784.95999999999913</v>
      </c>
      <c r="G157" t="s">
        <v>333</v>
      </c>
      <c r="H157" t="s">
        <v>334</v>
      </c>
      <c r="I157" t="s">
        <v>352</v>
      </c>
      <c r="L157" s="47">
        <f>784.96/200</f>
        <v>3.9248000000000003</v>
      </c>
      <c r="N157" t="s">
        <v>330</v>
      </c>
    </row>
    <row r="158" spans="1:14" x14ac:dyDescent="0.25">
      <c r="A158" s="3">
        <v>45869</v>
      </c>
      <c r="B158" t="s">
        <v>109</v>
      </c>
      <c r="C158" t="s">
        <v>335</v>
      </c>
      <c r="D158" t="s">
        <v>26</v>
      </c>
      <c r="E158">
        <v>50424.86</v>
      </c>
      <c r="F158" s="6" t="s">
        <v>336</v>
      </c>
      <c r="G158" t="s">
        <v>45</v>
      </c>
      <c r="H158" t="s">
        <v>183</v>
      </c>
      <c r="I158" t="s">
        <v>353</v>
      </c>
    </row>
    <row r="159" spans="1:14" x14ac:dyDescent="0.25">
      <c r="A159" s="3">
        <v>45870</v>
      </c>
      <c r="B159" t="s">
        <v>113</v>
      </c>
      <c r="C159" t="s">
        <v>325</v>
      </c>
      <c r="D159" t="s">
        <v>26</v>
      </c>
      <c r="E159">
        <v>52226.66</v>
      </c>
      <c r="F159" s="13">
        <f>(E157-E159)*-1</f>
        <v>1034.8800000000047</v>
      </c>
      <c r="G159" t="s">
        <v>337</v>
      </c>
      <c r="H159" t="s">
        <v>207</v>
      </c>
      <c r="I159" t="s">
        <v>354</v>
      </c>
      <c r="L159" s="47">
        <f>1034.88/200</f>
        <v>5.1744000000000003</v>
      </c>
    </row>
    <row r="160" spans="1:14" x14ac:dyDescent="0.25">
      <c r="A160" s="3">
        <v>45871</v>
      </c>
      <c r="B160" t="s">
        <v>35</v>
      </c>
      <c r="C160" t="s">
        <v>338</v>
      </c>
      <c r="G160" t="s">
        <v>347</v>
      </c>
      <c r="I160" t="s">
        <v>355</v>
      </c>
      <c r="K160" s="20" t="s">
        <v>363</v>
      </c>
      <c r="L160" s="47">
        <f>SUM(L156:L159)</f>
        <v>12.417900000000001</v>
      </c>
      <c r="M160" s="20">
        <f>12.4179*200</f>
        <v>2483.58</v>
      </c>
    </row>
    <row r="161" spans="1:14" x14ac:dyDescent="0.25">
      <c r="A161" s="3">
        <v>45872</v>
      </c>
      <c r="B161" t="s">
        <v>35</v>
      </c>
      <c r="C161" t="s">
        <v>339</v>
      </c>
      <c r="G161" t="s">
        <v>344</v>
      </c>
      <c r="I161" t="s">
        <v>406</v>
      </c>
      <c r="K161" s="20" t="s">
        <v>361</v>
      </c>
      <c r="L161" s="47">
        <f>L160+L167-L152</f>
        <v>12.767599999999977</v>
      </c>
    </row>
    <row r="162" spans="1:14" x14ac:dyDescent="0.25">
      <c r="A162" s="3">
        <v>45873</v>
      </c>
      <c r="B162" t="s">
        <v>93</v>
      </c>
      <c r="C162" t="s">
        <v>341</v>
      </c>
      <c r="D162" t="s">
        <v>342</v>
      </c>
      <c r="E162">
        <v>53186.34</v>
      </c>
      <c r="F162" s="21">
        <f>E162-E159</f>
        <v>959.67999999999302</v>
      </c>
      <c r="G162" t="s">
        <v>49</v>
      </c>
      <c r="H162" t="s">
        <v>343</v>
      </c>
      <c r="I162" t="s">
        <v>356</v>
      </c>
      <c r="L162" s="47">
        <f>F162/200</f>
        <v>4.7983999999999654</v>
      </c>
    </row>
    <row r="163" spans="1:14" x14ac:dyDescent="0.25">
      <c r="A163" s="3">
        <v>45874</v>
      </c>
      <c r="B163" t="s">
        <v>100</v>
      </c>
      <c r="C163" t="s">
        <v>331</v>
      </c>
      <c r="D163" t="s">
        <v>342</v>
      </c>
      <c r="E163">
        <v>52793.42</v>
      </c>
      <c r="F163" s="7">
        <f>E162-E163</f>
        <v>392.91999999999825</v>
      </c>
      <c r="G163" t="s">
        <v>141</v>
      </c>
      <c r="H163" t="s">
        <v>345</v>
      </c>
      <c r="I163" t="s">
        <v>357</v>
      </c>
      <c r="L163" s="48">
        <f>392.92/200</f>
        <v>1.9646000000000001</v>
      </c>
      <c r="N163" t="s">
        <v>346</v>
      </c>
    </row>
    <row r="164" spans="1:14" x14ac:dyDescent="0.25">
      <c r="A164" s="3">
        <v>45875</v>
      </c>
      <c r="B164" t="s">
        <v>106</v>
      </c>
      <c r="C164" t="s">
        <v>325</v>
      </c>
      <c r="D164" t="s">
        <v>326</v>
      </c>
      <c r="E164">
        <v>51702.5</v>
      </c>
      <c r="F164" s="33">
        <f>E163-E164</f>
        <v>1090.9199999999983</v>
      </c>
      <c r="G164" t="s">
        <v>348</v>
      </c>
      <c r="H164" t="s">
        <v>349</v>
      </c>
      <c r="I164" t="s">
        <v>358</v>
      </c>
      <c r="L164" s="54">
        <f>1090.92/200</f>
        <v>5.4546000000000001</v>
      </c>
      <c r="N164" t="s">
        <v>350</v>
      </c>
    </row>
    <row r="165" spans="1:14" x14ac:dyDescent="0.25">
      <c r="A165" s="3">
        <v>45876</v>
      </c>
      <c r="B165" t="s">
        <v>300</v>
      </c>
      <c r="C165" t="s">
        <v>325</v>
      </c>
      <c r="D165" t="s">
        <v>26</v>
      </c>
      <c r="E165">
        <v>52898.18</v>
      </c>
      <c r="F165" s="11">
        <f>E165-E164</f>
        <v>1195.6800000000003</v>
      </c>
      <c r="G165" t="s">
        <v>49</v>
      </c>
      <c r="H165" t="s">
        <v>150</v>
      </c>
      <c r="I165" s="50" t="s">
        <v>359</v>
      </c>
      <c r="J165" s="50" t="s">
        <v>364</v>
      </c>
      <c r="K165" s="51">
        <f>5.75*0.8*20</f>
        <v>92.000000000000014</v>
      </c>
      <c r="L165" s="47">
        <f>F165/200</f>
        <v>5.9784000000000015</v>
      </c>
      <c r="M165" s="52" t="str">
        <f>L165*200/K165 &amp; "RR"</f>
        <v>12.9965217391304RR</v>
      </c>
      <c r="N165" t="s">
        <v>360</v>
      </c>
    </row>
    <row r="166" spans="1:14" x14ac:dyDescent="0.25">
      <c r="A166" s="3">
        <v>45877</v>
      </c>
      <c r="B166" t="s">
        <v>113</v>
      </c>
      <c r="C166" t="s">
        <v>325</v>
      </c>
      <c r="D166" t="s">
        <v>366</v>
      </c>
      <c r="E166">
        <v>52553.52</v>
      </c>
      <c r="F166" s="19">
        <f>E165-E166</f>
        <v>344.66000000000349</v>
      </c>
      <c r="G166" t="s">
        <v>55</v>
      </c>
      <c r="H166" t="s">
        <v>207</v>
      </c>
      <c r="I166" s="53" t="s">
        <v>367</v>
      </c>
      <c r="L166" s="49">
        <f>344.66/200</f>
        <v>1.7233000000000001</v>
      </c>
      <c r="N166" t="s">
        <v>368</v>
      </c>
    </row>
    <row r="167" spans="1:14" x14ac:dyDescent="0.25">
      <c r="A167" s="3">
        <v>45878</v>
      </c>
      <c r="B167" t="s">
        <v>35</v>
      </c>
      <c r="C167" s="20">
        <f>50000+D167-E166</f>
        <v>1428.0944000000018</v>
      </c>
      <c r="D167" s="20">
        <f>1195.68*3.33</f>
        <v>3981.6144000000004</v>
      </c>
      <c r="E167" s="20"/>
      <c r="G167" s="20">
        <f>2793*0.3</f>
        <v>837.9</v>
      </c>
      <c r="H167" s="20" t="s">
        <v>410</v>
      </c>
      <c r="I167" s="20"/>
      <c r="K167" s="20" t="s">
        <v>363</v>
      </c>
      <c r="L167" s="47">
        <f>L165+L162-L164-L163-L166</f>
        <v>1.6342999999999659</v>
      </c>
      <c r="M167" s="20">
        <f>L167*200</f>
        <v>326.85999999999319</v>
      </c>
      <c r="N167" t="s">
        <v>365</v>
      </c>
    </row>
    <row r="168" spans="1:14" x14ac:dyDescent="0.25">
      <c r="A168" s="3">
        <v>45879</v>
      </c>
      <c r="B168" t="s">
        <v>35</v>
      </c>
      <c r="E168" t="s">
        <v>369</v>
      </c>
      <c r="G168" t="s">
        <v>370</v>
      </c>
      <c r="I168" t="s">
        <v>371</v>
      </c>
    </row>
    <row r="169" spans="1:14" x14ac:dyDescent="0.25">
      <c r="A169" s="3">
        <v>45880</v>
      </c>
      <c r="B169" t="s">
        <v>93</v>
      </c>
      <c r="C169" t="s">
        <v>372</v>
      </c>
      <c r="D169" t="s">
        <v>373</v>
      </c>
      <c r="E169" s="1">
        <v>52343.76</v>
      </c>
      <c r="F169" s="27">
        <f>E166-E169</f>
        <v>209.75999999999476</v>
      </c>
      <c r="G169" t="s">
        <v>102</v>
      </c>
      <c r="H169" t="s">
        <v>207</v>
      </c>
      <c r="L169" s="48">
        <f>209.76/200</f>
        <v>1.0488</v>
      </c>
    </row>
    <row r="170" spans="1:14" x14ac:dyDescent="0.25">
      <c r="A170" s="3">
        <v>45881</v>
      </c>
      <c r="B170" t="s">
        <v>100</v>
      </c>
      <c r="C170" t="s">
        <v>372</v>
      </c>
      <c r="D170" t="s">
        <v>374</v>
      </c>
      <c r="E170" s="1">
        <v>52082.6</v>
      </c>
      <c r="F170" s="27">
        <f>E169-E170</f>
        <v>261.16000000000349</v>
      </c>
      <c r="G170" t="s">
        <v>391</v>
      </c>
      <c r="H170" t="s">
        <v>375</v>
      </c>
      <c r="I170" s="20" t="s">
        <v>377</v>
      </c>
      <c r="L170" s="48">
        <f>F170/200</f>
        <v>1.3058000000000174</v>
      </c>
      <c r="N170" t="s">
        <v>376</v>
      </c>
    </row>
    <row r="171" spans="1:14" x14ac:dyDescent="0.25">
      <c r="A171" s="3">
        <v>45882</v>
      </c>
      <c r="B171" t="s">
        <v>106</v>
      </c>
      <c r="C171" t="s">
        <v>372</v>
      </c>
      <c r="D171" t="s">
        <v>26</v>
      </c>
      <c r="E171" s="1">
        <v>51929.120000000003</v>
      </c>
      <c r="F171" s="27">
        <f>E170-E171</f>
        <v>153.47999999999593</v>
      </c>
      <c r="G171" t="s">
        <v>45</v>
      </c>
      <c r="H171" t="s">
        <v>150</v>
      </c>
      <c r="L171" s="48">
        <f>F171/200</f>
        <v>0.76739999999997965</v>
      </c>
    </row>
    <row r="172" spans="1:14" x14ac:dyDescent="0.25">
      <c r="A172" s="3">
        <v>45883</v>
      </c>
      <c r="B172" t="s">
        <v>109</v>
      </c>
      <c r="C172" t="s">
        <v>372</v>
      </c>
      <c r="D172" t="s">
        <v>378</v>
      </c>
      <c r="E172" s="1">
        <v>51529.34</v>
      </c>
      <c r="F172" s="27">
        <f>E171-E172</f>
        <v>399.78000000000611</v>
      </c>
      <c r="G172" t="s">
        <v>379</v>
      </c>
      <c r="H172" t="s">
        <v>380</v>
      </c>
      <c r="L172" s="48">
        <f>F172/200</f>
        <v>1.9989000000000305</v>
      </c>
      <c r="N172" t="s">
        <v>381</v>
      </c>
    </row>
    <row r="173" spans="1:14" x14ac:dyDescent="0.25">
      <c r="A173" s="3">
        <v>45884</v>
      </c>
      <c r="B173" t="s">
        <v>113</v>
      </c>
      <c r="C173" t="s">
        <v>372</v>
      </c>
      <c r="D173" t="s">
        <v>248</v>
      </c>
      <c r="E173" s="1">
        <v>51332.38</v>
      </c>
      <c r="F173" s="27">
        <f>E172-E173</f>
        <v>196.95999999999913</v>
      </c>
      <c r="G173" t="s">
        <v>382</v>
      </c>
      <c r="H173" t="s">
        <v>383</v>
      </c>
      <c r="L173" s="48">
        <f>F173/200</f>
        <v>0.98479999999999568</v>
      </c>
    </row>
    <row r="174" spans="1:14" x14ac:dyDescent="0.25">
      <c r="A174" s="3">
        <v>45885</v>
      </c>
      <c r="B174" t="s">
        <v>35</v>
      </c>
      <c r="C174" t="s">
        <v>372</v>
      </c>
      <c r="L174" s="48">
        <f>SUM(L169:L173)</f>
        <v>6.1057000000000228</v>
      </c>
      <c r="M174" s="55">
        <f>L174*200</f>
        <v>1221.1400000000046</v>
      </c>
      <c r="N174" t="s">
        <v>384</v>
      </c>
    </row>
    <row r="175" spans="1:14" x14ac:dyDescent="0.25">
      <c r="A175" s="3">
        <v>45886</v>
      </c>
      <c r="B175" t="s">
        <v>35</v>
      </c>
      <c r="C175" t="s">
        <v>372</v>
      </c>
      <c r="F175" t="s">
        <v>389</v>
      </c>
      <c r="G175" t="s">
        <v>390</v>
      </c>
      <c r="H175" t="s">
        <v>393</v>
      </c>
      <c r="J175" s="42" t="s">
        <v>397</v>
      </c>
      <c r="K175" s="39">
        <v>0.19389999999999999</v>
      </c>
      <c r="L175" s="59">
        <f>K175/SQRT(252)</f>
        <v>1.2214551886081525E-2</v>
      </c>
      <c r="N175" t="s">
        <v>388</v>
      </c>
    </row>
    <row r="176" spans="1:14" x14ac:dyDescent="0.25">
      <c r="A176" s="3">
        <v>45887</v>
      </c>
      <c r="B176" t="s">
        <v>93</v>
      </c>
      <c r="C176" t="s">
        <v>372</v>
      </c>
      <c r="D176" t="s">
        <v>385</v>
      </c>
      <c r="E176" s="58">
        <v>51186.239999999998</v>
      </c>
      <c r="F176" s="26">
        <f>E173-E176</f>
        <v>146.13999999999942</v>
      </c>
      <c r="G176" t="s">
        <v>386</v>
      </c>
      <c r="H176" t="s">
        <v>323</v>
      </c>
      <c r="I176" t="s">
        <v>392</v>
      </c>
      <c r="L176" s="57">
        <f>F176/299</f>
        <v>0.48876254180601814</v>
      </c>
      <c r="N176" t="s">
        <v>387</v>
      </c>
    </row>
    <row r="177" spans="1:14" x14ac:dyDescent="0.25">
      <c r="A177" s="3">
        <v>45888</v>
      </c>
      <c r="B177" t="s">
        <v>100</v>
      </c>
      <c r="C177" t="s">
        <v>372</v>
      </c>
      <c r="D177" t="s">
        <v>394</v>
      </c>
      <c r="E177" s="1">
        <v>51228.82</v>
      </c>
      <c r="F177" s="25">
        <f>E177-E176</f>
        <v>42.580000000001746</v>
      </c>
      <c r="G177" t="s">
        <v>395</v>
      </c>
      <c r="H177" t="s">
        <v>177</v>
      </c>
      <c r="L177" s="47">
        <f>F177/200</f>
        <v>0.21290000000000872</v>
      </c>
      <c r="N177" t="s">
        <v>396</v>
      </c>
    </row>
    <row r="178" spans="1:14" x14ac:dyDescent="0.25">
      <c r="A178" s="3">
        <v>45889</v>
      </c>
      <c r="B178" t="s">
        <v>106</v>
      </c>
      <c r="C178" t="s">
        <v>372</v>
      </c>
      <c r="D178" t="s">
        <v>399</v>
      </c>
      <c r="E178">
        <v>51687.64</v>
      </c>
      <c r="F178" s="25">
        <f>E178-E177</f>
        <v>458.81999999999971</v>
      </c>
      <c r="G178" t="s">
        <v>398</v>
      </c>
      <c r="H178" t="s">
        <v>400</v>
      </c>
      <c r="L178" s="47">
        <f>F178/200</f>
        <v>2.2940999999999985</v>
      </c>
      <c r="N178" t="s">
        <v>401</v>
      </c>
    </row>
    <row r="179" spans="1:14" x14ac:dyDescent="0.25">
      <c r="A179" s="3">
        <v>45890</v>
      </c>
      <c r="B179" t="s">
        <v>109</v>
      </c>
      <c r="C179" t="s">
        <v>372</v>
      </c>
      <c r="D179" t="s">
        <v>378</v>
      </c>
      <c r="E179">
        <v>51795.02</v>
      </c>
      <c r="F179" s="11">
        <f>E179-E178</f>
        <v>107.37999999999738</v>
      </c>
      <c r="G179" t="s">
        <v>402</v>
      </c>
      <c r="H179" t="s">
        <v>403</v>
      </c>
      <c r="L179" s="47">
        <f>F179/200</f>
        <v>0.53689999999998694</v>
      </c>
    </row>
    <row r="180" spans="1:14" x14ac:dyDescent="0.25">
      <c r="A180" s="3">
        <v>45891</v>
      </c>
      <c r="B180" t="s">
        <v>113</v>
      </c>
      <c r="C180" t="s">
        <v>372</v>
      </c>
      <c r="D180" t="s">
        <v>385</v>
      </c>
      <c r="E180" s="1">
        <v>53029.96</v>
      </c>
      <c r="F180" s="61">
        <f>E180-E179</f>
        <v>1234.9400000000023</v>
      </c>
      <c r="G180" t="s">
        <v>405</v>
      </c>
      <c r="H180" t="s">
        <v>96</v>
      </c>
      <c r="L180" s="47">
        <f>F180/200</f>
        <v>6.1747000000000121</v>
      </c>
    </row>
    <row r="181" spans="1:14" x14ac:dyDescent="0.25">
      <c r="A181" s="3">
        <v>45892</v>
      </c>
      <c r="B181" t="s">
        <v>35</v>
      </c>
      <c r="C181" t="s">
        <v>372</v>
      </c>
      <c r="G181">
        <f>F180*10/3</f>
        <v>4116.4666666666744</v>
      </c>
      <c r="K181" t="s">
        <v>363</v>
      </c>
      <c r="L181" s="60">
        <f>SUM(L176:L180)</f>
        <v>9.7073625418060239</v>
      </c>
      <c r="M181" s="20">
        <f>L181*200</f>
        <v>1941.4725083612047</v>
      </c>
      <c r="N181" t="s">
        <v>404</v>
      </c>
    </row>
    <row r="182" spans="1:14" x14ac:dyDescent="0.25">
      <c r="A182" s="3">
        <v>45893</v>
      </c>
      <c r="B182" t="s">
        <v>35</v>
      </c>
      <c r="C182" t="s">
        <v>372</v>
      </c>
    </row>
    <row r="183" spans="1:14" x14ac:dyDescent="0.25">
      <c r="A183" s="3">
        <v>45894</v>
      </c>
      <c r="B183" t="s">
        <v>9</v>
      </c>
      <c r="C183" t="s">
        <v>372</v>
      </c>
      <c r="D183" t="s">
        <v>26</v>
      </c>
      <c r="E183">
        <v>52885.599999999999</v>
      </c>
      <c r="F183" s="27">
        <f>E180-E183</f>
        <v>144.36000000000058</v>
      </c>
      <c r="G183" t="s">
        <v>45</v>
      </c>
      <c r="H183" t="s">
        <v>48</v>
      </c>
      <c r="L183" s="48">
        <f>F183/200</f>
        <v>0.72180000000000288</v>
      </c>
      <c r="N183" t="s">
        <v>407</v>
      </c>
    </row>
    <row r="184" spans="1:14" x14ac:dyDescent="0.25">
      <c r="A184" s="3">
        <v>45895</v>
      </c>
      <c r="B184" t="s">
        <v>10</v>
      </c>
      <c r="C184" t="s">
        <v>372</v>
      </c>
      <c r="D184" t="s">
        <v>248</v>
      </c>
      <c r="E184">
        <v>53746.400000000001</v>
      </c>
      <c r="F184" s="11">
        <f>E184-E183</f>
        <v>860.80000000000291</v>
      </c>
      <c r="G184" t="s">
        <v>408</v>
      </c>
      <c r="H184" t="s">
        <v>409</v>
      </c>
      <c r="L184" s="47">
        <f>F184/200</f>
        <v>4.3040000000000145</v>
      </c>
    </row>
    <row r="185" spans="1:14" x14ac:dyDescent="0.25">
      <c r="A185" s="3">
        <v>45896</v>
      </c>
      <c r="B185" t="s">
        <v>11</v>
      </c>
      <c r="C185" t="s">
        <v>372</v>
      </c>
      <c r="D185" t="s">
        <v>248</v>
      </c>
      <c r="E185" s="62">
        <v>54177.78</v>
      </c>
      <c r="F185" s="63">
        <f>E185-E184</f>
        <v>431.37999999999738</v>
      </c>
      <c r="G185" t="s">
        <v>411</v>
      </c>
      <c r="H185" t="s">
        <v>412</v>
      </c>
      <c r="I185" s="20" t="s">
        <v>413</v>
      </c>
      <c r="L185" s="47">
        <f>F185/200</f>
        <v>2.1568999999999869</v>
      </c>
    </row>
    <row r="186" spans="1:14" x14ac:dyDescent="0.25">
      <c r="A186" s="3">
        <v>45897</v>
      </c>
      <c r="B186" t="s">
        <v>12</v>
      </c>
      <c r="C186" t="s">
        <v>372</v>
      </c>
      <c r="D186" t="s">
        <v>385</v>
      </c>
      <c r="E186">
        <v>52086.32</v>
      </c>
      <c r="F186" s="7">
        <f>E185-E186-2000</f>
        <v>91.459999999999127</v>
      </c>
      <c r="G186" t="s">
        <v>415</v>
      </c>
      <c r="H186" t="s">
        <v>416</v>
      </c>
      <c r="L186" s="48">
        <f>F186/200</f>
        <v>0.45729999999999565</v>
      </c>
    </row>
    <row r="187" spans="1:14" x14ac:dyDescent="0.25">
      <c r="A187" s="3">
        <v>45898</v>
      </c>
      <c r="B187" t="s">
        <v>13</v>
      </c>
      <c r="C187" t="s">
        <v>372</v>
      </c>
      <c r="D187" t="s">
        <v>26</v>
      </c>
      <c r="E187" s="1">
        <v>52861.9</v>
      </c>
      <c r="F187" s="13">
        <f>E187-E186</f>
        <v>775.58000000000175</v>
      </c>
      <c r="G187" t="s">
        <v>49</v>
      </c>
      <c r="H187" t="s">
        <v>48</v>
      </c>
      <c r="L187" s="47">
        <f>F187/200</f>
        <v>3.8779000000000088</v>
      </c>
    </row>
    <row r="188" spans="1:14" x14ac:dyDescent="0.25">
      <c r="A188" s="3">
        <v>45899</v>
      </c>
      <c r="B188" t="s">
        <v>35</v>
      </c>
      <c r="C188" t="s">
        <v>372</v>
      </c>
      <c r="K188" t="s">
        <v>363</v>
      </c>
      <c r="L188" s="47">
        <f>L184-L183+L185-L186+L187</f>
        <v>9.1597000000000115</v>
      </c>
      <c r="M188" s="20">
        <f>200*L188</f>
        <v>1831.9400000000023</v>
      </c>
    </row>
    <row r="189" spans="1:14" x14ac:dyDescent="0.25">
      <c r="A189" s="3">
        <v>45900</v>
      </c>
      <c r="B189" t="s">
        <v>35</v>
      </c>
      <c r="C189" t="s">
        <v>372</v>
      </c>
      <c r="F189" t="s">
        <v>229</v>
      </c>
    </row>
    <row r="190" spans="1:14" x14ac:dyDescent="0.25">
      <c r="A190" s="3">
        <v>45901</v>
      </c>
      <c r="B190" t="s">
        <v>9</v>
      </c>
      <c r="C190" s="20" t="s">
        <v>424</v>
      </c>
      <c r="L190" s="50">
        <v>0</v>
      </c>
    </row>
    <row r="191" spans="1:14" x14ac:dyDescent="0.25">
      <c r="A191" s="3">
        <v>45902</v>
      </c>
      <c r="B191" t="s">
        <v>100</v>
      </c>
      <c r="C191" t="s">
        <v>443</v>
      </c>
      <c r="D191" t="s">
        <v>26</v>
      </c>
      <c r="E191">
        <v>52674.64</v>
      </c>
      <c r="F191" s="27">
        <f>E187-E191</f>
        <v>187.26000000000204</v>
      </c>
      <c r="G191" t="s">
        <v>425</v>
      </c>
      <c r="H191" t="s">
        <v>412</v>
      </c>
      <c r="L191" s="48">
        <f>F191/200</f>
        <v>0.93630000000001024</v>
      </c>
    </row>
    <row r="192" spans="1:14" x14ac:dyDescent="0.25">
      <c r="A192" s="3">
        <v>45903</v>
      </c>
      <c r="B192" t="s">
        <v>106</v>
      </c>
      <c r="C192" t="s">
        <v>372</v>
      </c>
      <c r="D192" t="s">
        <v>385</v>
      </c>
      <c r="E192">
        <v>52465</v>
      </c>
      <c r="F192" s="7">
        <f>E191-E192</f>
        <v>209.63999999999942</v>
      </c>
      <c r="G192" t="s">
        <v>102</v>
      </c>
      <c r="H192" t="s">
        <v>426</v>
      </c>
      <c r="L192" s="48">
        <f>F192/200</f>
        <v>1.0481999999999971</v>
      </c>
      <c r="N192" t="s">
        <v>427</v>
      </c>
    </row>
    <row r="193" spans="1:14" x14ac:dyDescent="0.25">
      <c r="A193" s="3">
        <v>45904</v>
      </c>
      <c r="B193" t="s">
        <v>109</v>
      </c>
      <c r="C193" t="s">
        <v>372</v>
      </c>
      <c r="D193" t="s">
        <v>26</v>
      </c>
      <c r="E193">
        <v>52440.52</v>
      </c>
      <c r="F193" s="27">
        <f>E192-E193</f>
        <v>24.480000000003201</v>
      </c>
      <c r="G193" t="s">
        <v>45</v>
      </c>
      <c r="H193" t="s">
        <v>48</v>
      </c>
      <c r="L193" s="48">
        <f>F193/200</f>
        <v>0.12240000000001601</v>
      </c>
      <c r="N193" t="s">
        <v>428</v>
      </c>
    </row>
    <row r="194" spans="1:14" x14ac:dyDescent="0.25">
      <c r="A194" s="3">
        <v>45905</v>
      </c>
      <c r="B194" t="s">
        <v>113</v>
      </c>
      <c r="C194" t="s">
        <v>372</v>
      </c>
      <c r="D194" t="s">
        <v>429</v>
      </c>
      <c r="E194" s="1">
        <v>52239.08</v>
      </c>
      <c r="F194" s="27">
        <f>E193-E194</f>
        <v>201.43999999999505</v>
      </c>
      <c r="G194" t="s">
        <v>102</v>
      </c>
      <c r="H194" t="s">
        <v>426</v>
      </c>
      <c r="L194" s="48">
        <f>F194/200</f>
        <v>1.0071999999999752</v>
      </c>
    </row>
    <row r="195" spans="1:14" x14ac:dyDescent="0.25">
      <c r="A195" s="3">
        <v>45906</v>
      </c>
      <c r="B195" t="s">
        <v>35</v>
      </c>
      <c r="C195" t="s">
        <v>372</v>
      </c>
      <c r="K195" t="s">
        <v>363</v>
      </c>
      <c r="L195" s="48">
        <f>SUM(L191:L194)</f>
        <v>3.1140999999999983</v>
      </c>
      <c r="M195" s="55">
        <f>200*L195</f>
        <v>622.81999999999971</v>
      </c>
      <c r="N195" t="s">
        <v>430</v>
      </c>
    </row>
    <row r="196" spans="1:14" x14ac:dyDescent="0.25">
      <c r="A196" s="3">
        <v>45907</v>
      </c>
      <c r="B196" t="s">
        <v>35</v>
      </c>
      <c r="C196" t="s">
        <v>372</v>
      </c>
      <c r="F196" t="s">
        <v>433</v>
      </c>
    </row>
    <row r="197" spans="1:14" x14ac:dyDescent="0.25">
      <c r="A197" s="3">
        <v>45908</v>
      </c>
      <c r="B197" t="s">
        <v>93</v>
      </c>
      <c r="C197" t="s">
        <v>372</v>
      </c>
      <c r="D197" t="s">
        <v>431</v>
      </c>
      <c r="E197">
        <v>52132.88</v>
      </c>
      <c r="F197" s="27">
        <f>E194-E197</f>
        <v>106.20000000000437</v>
      </c>
      <c r="G197" t="s">
        <v>45</v>
      </c>
      <c r="H197" t="s">
        <v>432</v>
      </c>
      <c r="L197" s="48">
        <f>F197/200</f>
        <v>0.53100000000002179</v>
      </c>
    </row>
    <row r="198" spans="1:14" x14ac:dyDescent="0.25">
      <c r="A198" s="3">
        <v>45909</v>
      </c>
      <c r="B198" t="s">
        <v>100</v>
      </c>
      <c r="C198" t="s">
        <v>372</v>
      </c>
      <c r="D198" t="s">
        <v>94</v>
      </c>
      <c r="E198">
        <v>51881.94</v>
      </c>
      <c r="F198" s="7">
        <f>E197-E198</f>
        <v>250.93999999999505</v>
      </c>
      <c r="G198" t="s">
        <v>102</v>
      </c>
      <c r="H198" t="s">
        <v>426</v>
      </c>
      <c r="L198" s="48">
        <f>F198/200</f>
        <v>1.2546999999999753</v>
      </c>
    </row>
    <row r="199" spans="1:14" x14ac:dyDescent="0.25">
      <c r="A199" s="3">
        <v>45910</v>
      </c>
      <c r="B199" t="s">
        <v>106</v>
      </c>
      <c r="C199" t="s">
        <v>372</v>
      </c>
      <c r="D199" t="s">
        <v>26</v>
      </c>
      <c r="E199">
        <v>51685.62</v>
      </c>
      <c r="F199" s="7">
        <f>E198-E199</f>
        <v>196.31999999999971</v>
      </c>
      <c r="G199" t="s">
        <v>45</v>
      </c>
      <c r="H199" t="s">
        <v>432</v>
      </c>
      <c r="L199" s="48">
        <f>F199/200</f>
        <v>0.98159999999999858</v>
      </c>
    </row>
    <row r="200" spans="1:14" x14ac:dyDescent="0.25">
      <c r="A200" s="3">
        <v>45911</v>
      </c>
      <c r="B200" t="s">
        <v>109</v>
      </c>
      <c r="C200" t="s">
        <v>372</v>
      </c>
      <c r="D200" t="s">
        <v>26</v>
      </c>
      <c r="E200">
        <v>51573.3</v>
      </c>
      <c r="F200" s="7">
        <f>E199-E200</f>
        <v>112.31999999999971</v>
      </c>
      <c r="G200" t="s">
        <v>45</v>
      </c>
      <c r="H200" t="s">
        <v>48</v>
      </c>
      <c r="L200" s="48">
        <f>F200/200</f>
        <v>0.56159999999999854</v>
      </c>
    </row>
    <row r="201" spans="1:14" x14ac:dyDescent="0.25">
      <c r="A201" s="3">
        <v>45912</v>
      </c>
      <c r="B201" t="s">
        <v>113</v>
      </c>
      <c r="C201" t="s">
        <v>372</v>
      </c>
      <c r="D201" s="20" t="s">
        <v>107</v>
      </c>
      <c r="E201">
        <v>51573.3</v>
      </c>
      <c r="F201" t="s">
        <v>434</v>
      </c>
    </row>
    <row r="202" spans="1:14" x14ac:dyDescent="0.25">
      <c r="A202" s="3">
        <v>45913</v>
      </c>
      <c r="B202" t="s">
        <v>35</v>
      </c>
      <c r="C202" t="s">
        <v>372</v>
      </c>
      <c r="K202" t="s">
        <v>363</v>
      </c>
      <c r="L202" s="48">
        <f>SUM(L197:L200)</f>
        <v>3.3288999999999942</v>
      </c>
      <c r="M202" s="55">
        <f>200*L202</f>
        <v>665.77999999999884</v>
      </c>
    </row>
    <row r="203" spans="1:14" x14ac:dyDescent="0.25">
      <c r="A203" s="3">
        <v>45914</v>
      </c>
      <c r="B203" t="s">
        <v>35</v>
      </c>
      <c r="C203" t="s">
        <v>372</v>
      </c>
      <c r="E203" t="s">
        <v>437</v>
      </c>
    </row>
    <row r="204" spans="1:14" x14ac:dyDescent="0.25">
      <c r="A204" s="3">
        <v>45915</v>
      </c>
      <c r="B204" t="s">
        <v>93</v>
      </c>
      <c r="C204" t="s">
        <v>372</v>
      </c>
      <c r="D204" t="s">
        <v>107</v>
      </c>
      <c r="E204">
        <v>51577.86</v>
      </c>
      <c r="F204" s="6">
        <f>E204-E201</f>
        <v>4.5599999999976717</v>
      </c>
      <c r="G204" t="s">
        <v>436</v>
      </c>
      <c r="L204" s="47">
        <f>F204/200</f>
        <v>2.2799999999988357E-2</v>
      </c>
    </row>
    <row r="205" spans="1:14" x14ac:dyDescent="0.25">
      <c r="A205" s="3">
        <v>45916</v>
      </c>
      <c r="B205" t="s">
        <v>100</v>
      </c>
      <c r="C205" t="s">
        <v>372</v>
      </c>
      <c r="D205" t="s">
        <v>26</v>
      </c>
      <c r="E205">
        <v>51423.42</v>
      </c>
      <c r="F205" s="7">
        <f>E204-E205</f>
        <v>154.44000000000233</v>
      </c>
      <c r="G205" t="s">
        <v>438</v>
      </c>
      <c r="H205" s="28" t="s">
        <v>48</v>
      </c>
      <c r="L205" s="48">
        <f>F205/200</f>
        <v>0.77220000000001165</v>
      </c>
    </row>
    <row r="206" spans="1:14" x14ac:dyDescent="0.25">
      <c r="A206" s="3">
        <v>45917</v>
      </c>
      <c r="B206" t="s">
        <v>106</v>
      </c>
      <c r="C206" t="s">
        <v>372</v>
      </c>
      <c r="D206" t="s">
        <v>26</v>
      </c>
      <c r="E206">
        <v>51398.94</v>
      </c>
      <c r="F206" s="7">
        <f>E205-E206</f>
        <v>24.479999999995925</v>
      </c>
      <c r="G206" t="s">
        <v>439</v>
      </c>
      <c r="H206" t="s">
        <v>432</v>
      </c>
      <c r="K206" s="45"/>
      <c r="L206" s="48">
        <f>F206/200</f>
        <v>0.12239999999997962</v>
      </c>
    </row>
    <row r="207" spans="1:14" x14ac:dyDescent="0.25">
      <c r="A207" s="3">
        <v>45918</v>
      </c>
      <c r="B207" s="20" t="s">
        <v>109</v>
      </c>
      <c r="C207" t="s">
        <v>372</v>
      </c>
      <c r="D207" t="s">
        <v>26</v>
      </c>
      <c r="E207">
        <v>51326.62</v>
      </c>
      <c r="F207" s="7">
        <f>E206-E207</f>
        <v>72.319999999999709</v>
      </c>
      <c r="G207" t="s">
        <v>441</v>
      </c>
      <c r="H207" t="s">
        <v>48</v>
      </c>
      <c r="I207" t="s">
        <v>442</v>
      </c>
      <c r="L207" s="48">
        <f>F207/200</f>
        <v>0.36159999999999853</v>
      </c>
    </row>
    <row r="208" spans="1:14" x14ac:dyDescent="0.25">
      <c r="A208" s="3">
        <v>45919</v>
      </c>
      <c r="B208" t="s">
        <v>113</v>
      </c>
      <c r="C208" t="s">
        <v>372</v>
      </c>
      <c r="D208" t="s">
        <v>107</v>
      </c>
      <c r="F208" s="6">
        <v>0</v>
      </c>
    </row>
    <row r="209" spans="1:12" x14ac:dyDescent="0.25">
      <c r="A209" s="3">
        <v>45920</v>
      </c>
      <c r="B209" t="s">
        <v>35</v>
      </c>
      <c r="C209" t="s">
        <v>372</v>
      </c>
      <c r="D209" t="s">
        <v>444</v>
      </c>
    </row>
    <row r="210" spans="1:12" x14ac:dyDescent="0.25">
      <c r="A210" s="3">
        <v>45921</v>
      </c>
      <c r="B210" t="s">
        <v>35</v>
      </c>
      <c r="C210" t="s">
        <v>372</v>
      </c>
      <c r="D210" t="s">
        <v>445</v>
      </c>
    </row>
    <row r="211" spans="1:12" x14ac:dyDescent="0.25">
      <c r="A211" s="3">
        <v>45922</v>
      </c>
      <c r="B211" t="s">
        <v>93</v>
      </c>
      <c r="C211" t="s">
        <v>372</v>
      </c>
      <c r="D211" t="s">
        <v>431</v>
      </c>
      <c r="E211">
        <v>51220.42</v>
      </c>
      <c r="F211" s="7">
        <f>E207-E211</f>
        <v>106.20000000000437</v>
      </c>
      <c r="G211" t="s">
        <v>45</v>
      </c>
      <c r="H211" t="s">
        <v>432</v>
      </c>
      <c r="L211" s="48">
        <f>F211/200</f>
        <v>0.53100000000002179</v>
      </c>
    </row>
    <row r="212" spans="1:12" x14ac:dyDescent="0.25">
      <c r="A212" s="3">
        <v>45923</v>
      </c>
      <c r="B212" t="s">
        <v>100</v>
      </c>
      <c r="C212" t="s">
        <v>372</v>
      </c>
      <c r="D212" t="s">
        <v>107</v>
      </c>
      <c r="E212">
        <f>E211</f>
        <v>51220.42</v>
      </c>
      <c r="F212" s="6">
        <v>0</v>
      </c>
      <c r="G212" t="s">
        <v>455</v>
      </c>
    </row>
    <row r="213" spans="1:12" x14ac:dyDescent="0.25">
      <c r="A213" s="3">
        <v>45924</v>
      </c>
      <c r="B213" t="s">
        <v>106</v>
      </c>
      <c r="C213" t="s">
        <v>372</v>
      </c>
      <c r="D213" t="s">
        <v>107</v>
      </c>
      <c r="E213">
        <f>E212</f>
        <v>51220.42</v>
      </c>
      <c r="F213" s="6">
        <v>0</v>
      </c>
      <c r="G213" t="s">
        <v>456</v>
      </c>
      <c r="H213" s="20" t="s">
        <v>459</v>
      </c>
    </row>
    <row r="214" spans="1:12" x14ac:dyDescent="0.25">
      <c r="A214" s="3">
        <v>45925</v>
      </c>
      <c r="B214" t="s">
        <v>109</v>
      </c>
      <c r="C214" t="s">
        <v>372</v>
      </c>
      <c r="D214" t="s">
        <v>107</v>
      </c>
      <c r="E214">
        <f>E213</f>
        <v>51220.42</v>
      </c>
      <c r="F214" s="6">
        <v>0</v>
      </c>
      <c r="G214" t="s">
        <v>457</v>
      </c>
      <c r="H214" s="20" t="s">
        <v>458</v>
      </c>
    </row>
    <row r="215" spans="1:12" x14ac:dyDescent="0.25">
      <c r="A215" s="3">
        <v>45926</v>
      </c>
      <c r="B215" t="s">
        <v>113</v>
      </c>
      <c r="C215" t="s">
        <v>372</v>
      </c>
      <c r="D215" t="s">
        <v>460</v>
      </c>
      <c r="E215">
        <v>51170.559999999998</v>
      </c>
      <c r="F215" s="7">
        <f>E214-E215</f>
        <v>49.860000000000582</v>
      </c>
      <c r="G215" t="s">
        <v>461</v>
      </c>
    </row>
    <row r="216" spans="1:12" x14ac:dyDescent="0.25">
      <c r="A216" s="3">
        <v>45927</v>
      </c>
      <c r="B216" t="s">
        <v>35</v>
      </c>
      <c r="C216" t="s">
        <v>453</v>
      </c>
    </row>
    <row r="217" spans="1:12" x14ac:dyDescent="0.25">
      <c r="A217" s="3">
        <v>45928</v>
      </c>
      <c r="B217" t="s">
        <v>35</v>
      </c>
      <c r="C217" t="s">
        <v>454</v>
      </c>
      <c r="E217" t="s">
        <v>462</v>
      </c>
    </row>
    <row r="218" spans="1:12" x14ac:dyDescent="0.25">
      <c r="A218" s="3">
        <v>45929</v>
      </c>
      <c r="B218" t="s">
        <v>93</v>
      </c>
      <c r="C218" t="s">
        <v>372</v>
      </c>
      <c r="D218" t="s">
        <v>470</v>
      </c>
      <c r="E218">
        <f>E215</f>
        <v>51170.559999999998</v>
      </c>
      <c r="F218" s="6">
        <v>0</v>
      </c>
      <c r="G218" t="s">
        <v>471</v>
      </c>
    </row>
    <row r="219" spans="1:12" x14ac:dyDescent="0.25">
      <c r="A219" s="3">
        <v>45930</v>
      </c>
      <c r="B219" t="s">
        <v>100</v>
      </c>
      <c r="C219" t="s">
        <v>372</v>
      </c>
      <c r="D219" t="s">
        <v>475</v>
      </c>
      <c r="E219">
        <f>E218</f>
        <v>51170.559999999998</v>
      </c>
      <c r="F219" s="6">
        <v>0</v>
      </c>
      <c r="G219" t="s">
        <v>476</v>
      </c>
    </row>
    <row r="220" spans="1:12" x14ac:dyDescent="0.25">
      <c r="A220" s="3">
        <v>45931</v>
      </c>
      <c r="B220" t="s">
        <v>106</v>
      </c>
      <c r="C220" t="s">
        <v>487</v>
      </c>
      <c r="D220" t="s">
        <v>52</v>
      </c>
      <c r="E220">
        <f>E219</f>
        <v>51170.559999999998</v>
      </c>
      <c r="F220" s="6">
        <v>0</v>
      </c>
      <c r="G220" t="s">
        <v>480</v>
      </c>
    </row>
    <row r="221" spans="1:12" x14ac:dyDescent="0.25">
      <c r="A221" s="3">
        <v>45932</v>
      </c>
      <c r="B221" t="s">
        <v>109</v>
      </c>
      <c r="C221" t="s">
        <v>372</v>
      </c>
      <c r="D221" t="s">
        <v>26</v>
      </c>
      <c r="E221">
        <v>51165.65</v>
      </c>
      <c r="F221" s="6">
        <v>5.4</v>
      </c>
      <c r="G221" t="s">
        <v>439</v>
      </c>
      <c r="H221" t="s">
        <v>48</v>
      </c>
      <c r="L221" s="48">
        <f>F221/200</f>
        <v>2.7000000000000003E-2</v>
      </c>
    </row>
    <row r="222" spans="1:12" x14ac:dyDescent="0.25">
      <c r="A222" s="3">
        <v>45933</v>
      </c>
      <c r="B222" t="s">
        <v>113</v>
      </c>
      <c r="C222" t="s">
        <v>372</v>
      </c>
      <c r="D222" t="s">
        <v>52</v>
      </c>
      <c r="E222">
        <v>51165.65</v>
      </c>
      <c r="F222" s="6">
        <v>0</v>
      </c>
      <c r="G222" t="s">
        <v>482</v>
      </c>
    </row>
    <row r="223" spans="1:12" x14ac:dyDescent="0.25">
      <c r="A223" s="3">
        <v>45934</v>
      </c>
      <c r="B223" t="s">
        <v>35</v>
      </c>
      <c r="C223" t="s">
        <v>372</v>
      </c>
      <c r="G223" t="s">
        <v>486</v>
      </c>
    </row>
    <row r="224" spans="1:12" x14ac:dyDescent="0.25">
      <c r="A224" s="3">
        <v>45935</v>
      </c>
      <c r="B224" t="s">
        <v>35</v>
      </c>
      <c r="C224" t="s">
        <v>372</v>
      </c>
    </row>
    <row r="225" spans="1:12" x14ac:dyDescent="0.25">
      <c r="A225" s="3">
        <v>45936</v>
      </c>
      <c r="B225" t="s">
        <v>93</v>
      </c>
      <c r="C225" t="s">
        <v>372</v>
      </c>
      <c r="D225" t="s">
        <v>26</v>
      </c>
      <c r="E225">
        <v>51084.84</v>
      </c>
      <c r="F225" s="7">
        <f>E222-E225</f>
        <v>80.810000000004948</v>
      </c>
      <c r="G225" t="s">
        <v>45</v>
      </c>
      <c r="H225" t="s">
        <v>48</v>
      </c>
      <c r="I225" t="s">
        <v>488</v>
      </c>
      <c r="L225" s="48">
        <f>F225/200</f>
        <v>0.40405000000002472</v>
      </c>
    </row>
    <row r="226" spans="1:12" x14ac:dyDescent="0.25">
      <c r="A226" s="3">
        <v>45937</v>
      </c>
      <c r="B226" t="s">
        <v>100</v>
      </c>
      <c r="C226" t="s">
        <v>372</v>
      </c>
      <c r="D226" t="s">
        <v>26</v>
      </c>
      <c r="E226">
        <v>51016.74</v>
      </c>
      <c r="F226" s="19">
        <f>E225-E226</f>
        <v>68.099999999998545</v>
      </c>
      <c r="G226" t="s">
        <v>489</v>
      </c>
      <c r="H226" t="s">
        <v>432</v>
      </c>
      <c r="I226" t="s">
        <v>490</v>
      </c>
      <c r="L226" s="48">
        <f>F226/200</f>
        <v>0.3404999999999927</v>
      </c>
    </row>
    <row r="227" spans="1:12" x14ac:dyDescent="0.25">
      <c r="A227" s="3">
        <v>45938</v>
      </c>
      <c r="B227" t="s">
        <v>106</v>
      </c>
      <c r="C227" t="s">
        <v>372</v>
      </c>
      <c r="D227" t="s">
        <v>26</v>
      </c>
      <c r="E227">
        <v>50853.64</v>
      </c>
      <c r="F227" s="7">
        <f>E226-E227</f>
        <v>163.09999999999854</v>
      </c>
      <c r="G227" t="s">
        <v>45</v>
      </c>
      <c r="H227" t="s">
        <v>432</v>
      </c>
      <c r="L227" s="48">
        <f>F227/200</f>
        <v>0.81549999999999268</v>
      </c>
    </row>
    <row r="228" spans="1:12" x14ac:dyDescent="0.25">
      <c r="A228" s="3">
        <v>45939</v>
      </c>
      <c r="B228" t="s">
        <v>109</v>
      </c>
      <c r="C228" t="s">
        <v>372</v>
      </c>
      <c r="D228" t="s">
        <v>26</v>
      </c>
      <c r="E228">
        <v>50601</v>
      </c>
      <c r="F228" s="7">
        <f>E227-E232</f>
        <v>252.63999999999942</v>
      </c>
      <c r="G228" t="s">
        <v>166</v>
      </c>
      <c r="H228" t="s">
        <v>96</v>
      </c>
      <c r="I228" t="s">
        <v>491</v>
      </c>
      <c r="J228" t="s">
        <v>492</v>
      </c>
      <c r="L228" s="49">
        <f>F228/200</f>
        <v>1.263199999999997</v>
      </c>
    </row>
    <row r="229" spans="1:12" x14ac:dyDescent="0.25">
      <c r="A229" s="3">
        <v>45940</v>
      </c>
      <c r="B229" t="s">
        <v>113</v>
      </c>
      <c r="C229" t="s">
        <v>372</v>
      </c>
      <c r="D229" t="s">
        <v>26</v>
      </c>
      <c r="E229" t="s">
        <v>52</v>
      </c>
      <c r="F229" t="s">
        <v>493</v>
      </c>
    </row>
    <row r="230" spans="1:12" x14ac:dyDescent="0.25">
      <c r="A230" s="3">
        <v>45941</v>
      </c>
      <c r="B230" t="s">
        <v>35</v>
      </c>
      <c r="C230" t="s">
        <v>372</v>
      </c>
    </row>
    <row r="231" spans="1:12" x14ac:dyDescent="0.25">
      <c r="A231" s="3">
        <v>45942</v>
      </c>
      <c r="B231" t="s">
        <v>35</v>
      </c>
      <c r="C231" t="s">
        <v>372</v>
      </c>
    </row>
    <row r="232" spans="1:12" x14ac:dyDescent="0.25">
      <c r="A232" s="3">
        <v>45943</v>
      </c>
      <c r="B232" t="s">
        <v>93</v>
      </c>
      <c r="C232" t="s">
        <v>372</v>
      </c>
      <c r="D232" t="s">
        <v>26</v>
      </c>
      <c r="E232">
        <v>50601</v>
      </c>
      <c r="F232" s="7">
        <v>74.16</v>
      </c>
      <c r="G232" t="s">
        <v>45</v>
      </c>
      <c r="H232" t="s">
        <v>48</v>
      </c>
      <c r="L232" s="48">
        <f>F232/200</f>
        <v>0.37079999999999996</v>
      </c>
    </row>
    <row r="233" spans="1:12" x14ac:dyDescent="0.25">
      <c r="A233" s="3">
        <v>45944</v>
      </c>
      <c r="B233" t="s">
        <v>100</v>
      </c>
      <c r="C233" t="s">
        <v>372</v>
      </c>
      <c r="D233" t="s">
        <v>496</v>
      </c>
    </row>
    <row r="234" spans="1:12" x14ac:dyDescent="0.25">
      <c r="A234" s="3">
        <v>45945</v>
      </c>
      <c r="B234" t="s">
        <v>106</v>
      </c>
      <c r="C234" t="s">
        <v>502</v>
      </c>
      <c r="D234" t="s">
        <v>26</v>
      </c>
      <c r="E234">
        <v>50601</v>
      </c>
      <c r="F234" s="7">
        <v>228.1</v>
      </c>
      <c r="G234" t="s">
        <v>45</v>
      </c>
      <c r="H234" t="s">
        <v>432</v>
      </c>
      <c r="L234" s="48">
        <f>F234/200</f>
        <v>1.1405000000000001</v>
      </c>
    </row>
    <row r="235" spans="1:12" x14ac:dyDescent="0.25">
      <c r="A235" s="3">
        <v>45946</v>
      </c>
      <c r="B235" t="s">
        <v>109</v>
      </c>
      <c r="C235" t="s">
        <v>502</v>
      </c>
      <c r="D235" t="s">
        <v>26</v>
      </c>
      <c r="E235">
        <v>50601</v>
      </c>
      <c r="F235" s="71" t="s">
        <v>498</v>
      </c>
      <c r="G235" t="s">
        <v>302</v>
      </c>
      <c r="H235" t="s">
        <v>497</v>
      </c>
    </row>
    <row r="236" spans="1:12" x14ac:dyDescent="0.25">
      <c r="A236" s="3">
        <v>45947</v>
      </c>
      <c r="B236" t="s">
        <v>113</v>
      </c>
      <c r="C236" t="s">
        <v>503</v>
      </c>
    </row>
    <row r="237" spans="1:12" x14ac:dyDescent="0.25">
      <c r="A237" s="3">
        <v>45948</v>
      </c>
      <c r="B237" t="s">
        <v>35</v>
      </c>
    </row>
    <row r="238" spans="1:12" x14ac:dyDescent="0.25">
      <c r="A238" s="3">
        <v>45949</v>
      </c>
      <c r="B238" t="s">
        <v>35</v>
      </c>
      <c r="D238" t="s">
        <v>499</v>
      </c>
    </row>
    <row r="239" spans="1:12" x14ac:dyDescent="0.25">
      <c r="A239" s="3">
        <v>45950</v>
      </c>
      <c r="B239" t="s">
        <v>93</v>
      </c>
      <c r="C239" t="s">
        <v>502</v>
      </c>
      <c r="D239" t="s">
        <v>326</v>
      </c>
      <c r="E239" t="s">
        <v>504</v>
      </c>
      <c r="F239" s="7">
        <v>298.32</v>
      </c>
      <c r="G239" t="s">
        <v>501</v>
      </c>
      <c r="H239" t="s">
        <v>48</v>
      </c>
      <c r="I239" t="s">
        <v>505</v>
      </c>
      <c r="L239" s="48">
        <f>F239/200</f>
        <v>1.4916</v>
      </c>
    </row>
    <row r="240" spans="1:12" x14ac:dyDescent="0.25">
      <c r="A240" s="3">
        <v>45951</v>
      </c>
      <c r="B240" t="s">
        <v>100</v>
      </c>
      <c r="C240" t="s">
        <v>506</v>
      </c>
      <c r="D240" t="s">
        <v>507</v>
      </c>
      <c r="E240" t="s">
        <v>504</v>
      </c>
      <c r="F240" s="7">
        <v>149.30000000000001</v>
      </c>
      <c r="G240" t="s">
        <v>501</v>
      </c>
      <c r="H240" t="s">
        <v>508</v>
      </c>
      <c r="L240" s="48">
        <f>F240/200</f>
        <v>0.74650000000000005</v>
      </c>
    </row>
    <row r="241" spans="1:12" x14ac:dyDescent="0.25">
      <c r="A241" s="3">
        <v>45952</v>
      </c>
      <c r="B241" t="s">
        <v>106</v>
      </c>
      <c r="C241" t="s">
        <v>506</v>
      </c>
      <c r="F241" s="54" t="s">
        <v>509</v>
      </c>
      <c r="G241" t="s">
        <v>510</v>
      </c>
      <c r="H241" t="s">
        <v>511</v>
      </c>
    </row>
    <row r="242" spans="1:12" x14ac:dyDescent="0.25">
      <c r="A242" s="3">
        <v>45953</v>
      </c>
      <c r="B242" t="s">
        <v>109</v>
      </c>
      <c r="C242" t="s">
        <v>512</v>
      </c>
      <c r="D242" t="s">
        <v>94</v>
      </c>
      <c r="E242" t="s">
        <v>504</v>
      </c>
      <c r="F242" s="7">
        <v>392.38</v>
      </c>
      <c r="G242" t="s">
        <v>102</v>
      </c>
      <c r="H242" t="s">
        <v>513</v>
      </c>
    </row>
    <row r="243" spans="1:12" x14ac:dyDescent="0.25">
      <c r="A243" s="3">
        <v>45954</v>
      </c>
      <c r="B243" t="s">
        <v>113</v>
      </c>
      <c r="C243" t="s">
        <v>514</v>
      </c>
      <c r="D243" t="s">
        <v>515</v>
      </c>
      <c r="E243" t="s">
        <v>504</v>
      </c>
      <c r="F243" s="54">
        <f>50000-48393.82-F242</f>
        <v>1213.8000000000002</v>
      </c>
      <c r="G243" t="s">
        <v>516</v>
      </c>
    </row>
    <row r="244" spans="1:12" x14ac:dyDescent="0.25">
      <c r="A244" s="3">
        <v>45955</v>
      </c>
      <c r="B244" t="s">
        <v>35</v>
      </c>
      <c r="F244" t="s">
        <v>517</v>
      </c>
    </row>
    <row r="245" spans="1:12" x14ac:dyDescent="0.25">
      <c r="A245" s="3">
        <v>45956</v>
      </c>
      <c r="B245" t="s">
        <v>35</v>
      </c>
    </row>
    <row r="246" spans="1:12" x14ac:dyDescent="0.25">
      <c r="A246" s="3">
        <v>45957</v>
      </c>
      <c r="B246" t="s">
        <v>93</v>
      </c>
      <c r="C246" t="s">
        <v>512</v>
      </c>
      <c r="D246" t="s">
        <v>518</v>
      </c>
      <c r="E246" s="20" t="s">
        <v>519</v>
      </c>
    </row>
    <row r="247" spans="1:12" x14ac:dyDescent="0.25">
      <c r="A247" s="3">
        <v>45958</v>
      </c>
      <c r="B247" t="s">
        <v>100</v>
      </c>
      <c r="C247" t="s">
        <v>512</v>
      </c>
      <c r="D247" t="s">
        <v>26</v>
      </c>
      <c r="F247" s="7">
        <f>20*8 + 3.1</f>
        <v>163.1</v>
      </c>
      <c r="G247" t="s">
        <v>45</v>
      </c>
      <c r="H247" t="s">
        <v>48</v>
      </c>
      <c r="L247" s="82">
        <f>1/(200/F247)</f>
        <v>0.8155</v>
      </c>
    </row>
    <row r="248" spans="1:12" x14ac:dyDescent="0.25">
      <c r="A248" s="3">
        <v>45959</v>
      </c>
      <c r="B248" t="s">
        <v>106</v>
      </c>
      <c r="C248" t="s">
        <v>512</v>
      </c>
      <c r="D248" t="s">
        <v>52</v>
      </c>
      <c r="L248" s="83"/>
    </row>
    <row r="249" spans="1:12" x14ac:dyDescent="0.25">
      <c r="A249" s="3">
        <v>45960</v>
      </c>
      <c r="B249" t="s">
        <v>109</v>
      </c>
      <c r="C249" t="s">
        <v>512</v>
      </c>
      <c r="D249" t="s">
        <v>26</v>
      </c>
      <c r="E249">
        <v>48208.62</v>
      </c>
      <c r="F249" s="7">
        <v>148.1</v>
      </c>
      <c r="G249" t="s">
        <v>45</v>
      </c>
      <c r="H249" t="s">
        <v>48</v>
      </c>
      <c r="L249" s="82">
        <f>1/(200/F249)</f>
        <v>0.74049999999999994</v>
      </c>
    </row>
    <row r="250" spans="1:12" x14ac:dyDescent="0.25">
      <c r="A250" s="3">
        <v>45961</v>
      </c>
      <c r="B250" t="s">
        <v>113</v>
      </c>
      <c r="C250" t="s">
        <v>512</v>
      </c>
      <c r="D250" t="s">
        <v>431</v>
      </c>
      <c r="E250">
        <v>48050.42</v>
      </c>
      <c r="F250" s="7">
        <f>E249-E250</f>
        <v>158.20000000000437</v>
      </c>
      <c r="G250" t="s">
        <v>45</v>
      </c>
      <c r="H250" t="s">
        <v>432</v>
      </c>
      <c r="L250" s="84">
        <f>1/(200/F250)</f>
        <v>0.7910000000000218</v>
      </c>
    </row>
    <row r="251" spans="1:12" x14ac:dyDescent="0.25">
      <c r="A251" s="3">
        <v>45962</v>
      </c>
      <c r="B251" t="s">
        <v>35</v>
      </c>
    </row>
    <row r="252" spans="1:12" x14ac:dyDescent="0.25">
      <c r="A252" s="3">
        <v>45963</v>
      </c>
      <c r="B252" t="s">
        <v>35</v>
      </c>
    </row>
    <row r="253" spans="1:12" x14ac:dyDescent="0.25">
      <c r="A253" s="3">
        <v>45964</v>
      </c>
      <c r="B253" t="s">
        <v>93</v>
      </c>
      <c r="C253" t="s">
        <v>512</v>
      </c>
      <c r="D253" t="s">
        <v>94</v>
      </c>
      <c r="E253">
        <v>47894.22</v>
      </c>
      <c r="F253" s="29">
        <f>E250-E253</f>
        <v>156.19999999999709</v>
      </c>
      <c r="G253" t="s">
        <v>501</v>
      </c>
      <c r="H253" t="s">
        <v>426</v>
      </c>
      <c r="L253" s="48">
        <f>F253/200</f>
        <v>0.78099999999998548</v>
      </c>
    </row>
    <row r="254" spans="1:12" x14ac:dyDescent="0.25">
      <c r="A254" s="3">
        <v>45965</v>
      </c>
      <c r="B254" t="s">
        <v>100</v>
      </c>
      <c r="C254" t="s">
        <v>512</v>
      </c>
      <c r="D254" t="s">
        <v>94</v>
      </c>
      <c r="E254">
        <v>47964.92</v>
      </c>
      <c r="F254" s="21">
        <f>E254-E253</f>
        <v>70.69999999999709</v>
      </c>
      <c r="G254" t="s">
        <v>522</v>
      </c>
      <c r="H254" t="s">
        <v>426</v>
      </c>
      <c r="L254" s="47">
        <f>F254/200</f>
        <v>0.35349999999998544</v>
      </c>
    </row>
    <row r="255" spans="1:12" x14ac:dyDescent="0.25">
      <c r="A255" s="3">
        <v>45966</v>
      </c>
      <c r="B255" t="s">
        <v>106</v>
      </c>
      <c r="C255" t="s">
        <v>512</v>
      </c>
      <c r="D255" t="s">
        <v>94</v>
      </c>
      <c r="E255">
        <v>50553.72</v>
      </c>
      <c r="F255" s="74">
        <f>E255-E254</f>
        <v>2588.8000000000029</v>
      </c>
      <c r="G255" t="s">
        <v>337</v>
      </c>
      <c r="H255" t="s">
        <v>508</v>
      </c>
      <c r="I255" t="s">
        <v>523</v>
      </c>
      <c r="L255" s="85">
        <f>F255/200</f>
        <v>12.944000000000015</v>
      </c>
    </row>
    <row r="256" spans="1:12" x14ac:dyDescent="0.25">
      <c r="A256" s="3">
        <v>45967</v>
      </c>
      <c r="B256" t="s">
        <v>109</v>
      </c>
      <c r="C256" t="s">
        <v>512</v>
      </c>
      <c r="D256" t="s">
        <v>94</v>
      </c>
      <c r="E256">
        <v>51697.52</v>
      </c>
      <c r="F256" s="72">
        <f>E256-E255</f>
        <v>1143.7999999999956</v>
      </c>
      <c r="G256" t="s">
        <v>302</v>
      </c>
      <c r="H256" t="s">
        <v>508</v>
      </c>
      <c r="I256" t="s">
        <v>524</v>
      </c>
      <c r="L256" s="47">
        <f>F256/200</f>
        <v>5.7189999999999781</v>
      </c>
    </row>
    <row r="257" spans="1:12" x14ac:dyDescent="0.25">
      <c r="A257" s="3">
        <v>45968</v>
      </c>
      <c r="B257" t="s">
        <v>113</v>
      </c>
      <c r="C257" t="s">
        <v>512</v>
      </c>
      <c r="D257" t="s">
        <v>132</v>
      </c>
      <c r="E257" s="1">
        <v>51883.22</v>
      </c>
      <c r="F257" s="25">
        <f>E257-E256</f>
        <v>185.70000000000437</v>
      </c>
      <c r="G257" t="s">
        <v>525</v>
      </c>
      <c r="H257" t="s">
        <v>409</v>
      </c>
      <c r="I257" t="s">
        <v>526</v>
      </c>
      <c r="L257" s="47">
        <f>F257/200</f>
        <v>0.92850000000002186</v>
      </c>
    </row>
    <row r="258" spans="1:12" x14ac:dyDescent="0.25">
      <c r="A258" s="3">
        <v>45969</v>
      </c>
      <c r="B258" t="s">
        <v>35</v>
      </c>
      <c r="K258" t="s">
        <v>541</v>
      </c>
      <c r="L258" s="47">
        <f>SUM(L254:L257)-L253</f>
        <v>19.164000000000016</v>
      </c>
    </row>
    <row r="259" spans="1:12" x14ac:dyDescent="0.25">
      <c r="A259" s="3">
        <v>45970</v>
      </c>
      <c r="B259" t="s">
        <v>35</v>
      </c>
    </row>
    <row r="260" spans="1:12" x14ac:dyDescent="0.25">
      <c r="A260" s="3">
        <v>45971</v>
      </c>
      <c r="B260" t="s">
        <v>93</v>
      </c>
      <c r="C260" t="s">
        <v>527</v>
      </c>
      <c r="D260" t="s">
        <v>132</v>
      </c>
      <c r="E260" s="1">
        <v>52133.919999999998</v>
      </c>
      <c r="F260" s="25">
        <f>E260-E257</f>
        <v>250.69999999999709</v>
      </c>
      <c r="G260" t="s">
        <v>525</v>
      </c>
      <c r="H260" t="s">
        <v>528</v>
      </c>
      <c r="L260" s="47">
        <f>F260/200</f>
        <v>1.2534999999999854</v>
      </c>
    </row>
    <row r="261" spans="1:12" x14ac:dyDescent="0.25">
      <c r="A261" s="3">
        <v>45972</v>
      </c>
      <c r="B261" t="s">
        <v>100</v>
      </c>
      <c r="C261" t="s">
        <v>527</v>
      </c>
      <c r="D261" t="s">
        <v>278</v>
      </c>
      <c r="E261" s="1">
        <v>52105.82</v>
      </c>
      <c r="F261" s="7">
        <v>28.1</v>
      </c>
      <c r="G261" t="s">
        <v>530</v>
      </c>
      <c r="H261" t="s">
        <v>432</v>
      </c>
      <c r="L261" s="48">
        <f>F261/200</f>
        <v>0.14050000000000001</v>
      </c>
    </row>
    <row r="262" spans="1:12" x14ac:dyDescent="0.25">
      <c r="A262" s="3">
        <v>45973</v>
      </c>
      <c r="B262" t="s">
        <v>106</v>
      </c>
      <c r="C262" t="s">
        <v>527</v>
      </c>
      <c r="D262" t="s">
        <v>531</v>
      </c>
      <c r="E262" s="1">
        <v>52144.06</v>
      </c>
      <c r="F262" s="13">
        <f>E262-E261</f>
        <v>38.239999999997963</v>
      </c>
      <c r="G262" t="s">
        <v>532</v>
      </c>
      <c r="H262" t="s">
        <v>533</v>
      </c>
      <c r="L262" s="47">
        <f>F262/200</f>
        <v>0.19119999999998982</v>
      </c>
    </row>
    <row r="263" spans="1:12" x14ac:dyDescent="0.25">
      <c r="A263" s="3">
        <v>45974</v>
      </c>
      <c r="B263" t="s">
        <v>109</v>
      </c>
      <c r="C263" t="s">
        <v>534</v>
      </c>
      <c r="D263" t="s">
        <v>378</v>
      </c>
      <c r="E263" s="1">
        <v>51900.84</v>
      </c>
      <c r="F263" s="27">
        <f>E262-E263</f>
        <v>243.22000000000116</v>
      </c>
      <c r="G263" t="s">
        <v>302</v>
      </c>
      <c r="H263" t="s">
        <v>536</v>
      </c>
      <c r="I263" t="s">
        <v>535</v>
      </c>
      <c r="L263" s="48">
        <f>F263/200</f>
        <v>1.2161000000000057</v>
      </c>
    </row>
    <row r="264" spans="1:12" x14ac:dyDescent="0.25">
      <c r="A264" s="3">
        <v>45975</v>
      </c>
      <c r="B264" t="s">
        <v>113</v>
      </c>
      <c r="C264" t="s">
        <v>512</v>
      </c>
      <c r="D264" t="s">
        <v>26</v>
      </c>
      <c r="E264" s="1">
        <v>53022.74</v>
      </c>
      <c r="F264" s="73">
        <f>E264-E263</f>
        <v>1121.9000000000015</v>
      </c>
      <c r="G264" t="s">
        <v>539</v>
      </c>
      <c r="L264" s="47">
        <f>F264/200</f>
        <v>5.6095000000000077</v>
      </c>
    </row>
    <row r="265" spans="1:12" x14ac:dyDescent="0.25">
      <c r="A265" s="3">
        <v>45976</v>
      </c>
      <c r="B265" t="s">
        <v>35</v>
      </c>
      <c r="C265" t="s">
        <v>546</v>
      </c>
      <c r="F265" t="s">
        <v>540</v>
      </c>
      <c r="K265" t="s">
        <v>541</v>
      </c>
      <c r="L265" s="47">
        <f>SUM(L264,L262,L260)-SUM(L263-L261)</f>
        <v>5.978599999999977</v>
      </c>
    </row>
    <row r="266" spans="1:12" x14ac:dyDescent="0.25">
      <c r="A266" s="3">
        <v>45977</v>
      </c>
      <c r="B266" t="s">
        <v>35</v>
      </c>
      <c r="C266" t="s">
        <v>547</v>
      </c>
      <c r="F266" t="s">
        <v>544</v>
      </c>
    </row>
    <row r="267" spans="1:12" x14ac:dyDescent="0.25">
      <c r="A267" s="3">
        <v>45978</v>
      </c>
      <c r="B267" t="s">
        <v>93</v>
      </c>
      <c r="C267" t="s">
        <v>542</v>
      </c>
      <c r="D267" t="s">
        <v>94</v>
      </c>
      <c r="E267" s="1">
        <v>49344.94</v>
      </c>
      <c r="F267" s="86">
        <f>50000-E267</f>
        <v>655.05999999999767</v>
      </c>
      <c r="G267" t="s">
        <v>102</v>
      </c>
      <c r="H267" t="s">
        <v>508</v>
      </c>
      <c r="I267" t="s">
        <v>543</v>
      </c>
      <c r="J267" t="s">
        <v>696</v>
      </c>
      <c r="L267" s="48">
        <f>F267/200</f>
        <v>3.2752999999999886</v>
      </c>
    </row>
    <row r="268" spans="1:12" x14ac:dyDescent="0.25">
      <c r="A268" s="3">
        <v>45979</v>
      </c>
      <c r="B268" t="s">
        <v>100</v>
      </c>
      <c r="C268" t="s">
        <v>52</v>
      </c>
      <c r="D268" t="s">
        <v>504</v>
      </c>
      <c r="E268" s="1">
        <v>49344.94</v>
      </c>
      <c r="F268">
        <v>0</v>
      </c>
      <c r="G268" t="s">
        <v>504</v>
      </c>
      <c r="H268" t="s">
        <v>504</v>
      </c>
      <c r="L268" s="6">
        <v>0</v>
      </c>
    </row>
    <row r="269" spans="1:12" x14ac:dyDescent="0.25">
      <c r="A269" s="3">
        <v>45980</v>
      </c>
      <c r="B269" t="s">
        <v>106</v>
      </c>
      <c r="C269" t="s">
        <v>52</v>
      </c>
      <c r="D269" t="s">
        <v>504</v>
      </c>
      <c r="E269" s="1">
        <v>49344.94</v>
      </c>
      <c r="F269">
        <v>0</v>
      </c>
      <c r="G269" t="s">
        <v>545</v>
      </c>
    </row>
    <row r="270" spans="1:12" x14ac:dyDescent="0.25">
      <c r="A270" s="3">
        <v>45981</v>
      </c>
      <c r="B270" t="s">
        <v>109</v>
      </c>
      <c r="C270" t="s">
        <v>548</v>
      </c>
      <c r="D270" t="s">
        <v>132</v>
      </c>
      <c r="E270" s="1">
        <v>48921.22</v>
      </c>
      <c r="F270" s="26">
        <f>E269-E270</f>
        <v>423.72000000000116</v>
      </c>
      <c r="G270" t="s">
        <v>549</v>
      </c>
      <c r="L270" s="48">
        <f>F270/200</f>
        <v>2.118600000000006</v>
      </c>
    </row>
    <row r="271" spans="1:12" x14ac:dyDescent="0.25">
      <c r="A271" s="3">
        <v>45982</v>
      </c>
      <c r="B271" t="s">
        <v>113</v>
      </c>
      <c r="C271" t="s">
        <v>548</v>
      </c>
      <c r="D271" t="s">
        <v>26</v>
      </c>
      <c r="E271" s="1">
        <v>48902.74</v>
      </c>
      <c r="F271" s="75">
        <f>E270-E271</f>
        <v>18.480000000003201</v>
      </c>
      <c r="G271" t="s">
        <v>522</v>
      </c>
      <c r="H271" t="s">
        <v>432</v>
      </c>
      <c r="I271" t="s">
        <v>550</v>
      </c>
      <c r="L271" s="48">
        <f>F271/200</f>
        <v>9.2400000000016011E-2</v>
      </c>
    </row>
    <row r="272" spans="1:12" x14ac:dyDescent="0.25">
      <c r="A272" s="3">
        <v>45983</v>
      </c>
      <c r="B272" t="s">
        <v>35</v>
      </c>
      <c r="L272" s="16"/>
    </row>
    <row r="273" spans="1:13" x14ac:dyDescent="0.25">
      <c r="A273" s="3">
        <v>45984</v>
      </c>
      <c r="B273" t="s">
        <v>35</v>
      </c>
      <c r="E273" t="s">
        <v>551</v>
      </c>
      <c r="L273" s="16"/>
    </row>
    <row r="274" spans="1:13" x14ac:dyDescent="0.25">
      <c r="A274" s="3">
        <v>45985</v>
      </c>
      <c r="B274" t="s">
        <v>93</v>
      </c>
      <c r="C274" t="s">
        <v>548</v>
      </c>
      <c r="D274" t="s">
        <v>94</v>
      </c>
      <c r="E274" s="1">
        <v>48662.22</v>
      </c>
      <c r="F274" s="27">
        <f>E271-E274</f>
        <v>240.5199999999968</v>
      </c>
      <c r="G274" t="s">
        <v>102</v>
      </c>
      <c r="H274" t="s">
        <v>96</v>
      </c>
      <c r="L274" s="48">
        <f>F274/200</f>
        <v>1.2025999999999839</v>
      </c>
    </row>
    <row r="275" spans="1:13" x14ac:dyDescent="0.25">
      <c r="A275" s="3">
        <v>45986</v>
      </c>
      <c r="B275" t="s">
        <v>100</v>
      </c>
      <c r="C275" t="s">
        <v>548</v>
      </c>
      <c r="D275" t="s">
        <v>94</v>
      </c>
      <c r="E275" s="1">
        <v>48266.2</v>
      </c>
      <c r="F275" s="27">
        <f>E274-E275</f>
        <v>396.02000000000407</v>
      </c>
      <c r="G275" t="s">
        <v>102</v>
      </c>
      <c r="H275" t="s">
        <v>508</v>
      </c>
      <c r="L275" s="48">
        <f>F275/200</f>
        <v>1.9801000000000204</v>
      </c>
    </row>
    <row r="276" spans="1:13" x14ac:dyDescent="0.25">
      <c r="A276" s="3">
        <v>45987</v>
      </c>
      <c r="B276" t="s">
        <v>106</v>
      </c>
      <c r="C276" t="s">
        <v>548</v>
      </c>
      <c r="D276" t="s">
        <v>132</v>
      </c>
      <c r="E276" s="1">
        <v>48156.94</v>
      </c>
      <c r="F276" s="27">
        <f>E275-E276</f>
        <v>109.25999999999476</v>
      </c>
      <c r="G276" t="s">
        <v>552</v>
      </c>
      <c r="H276" t="s">
        <v>533</v>
      </c>
      <c r="L276" s="48">
        <f>F276/200</f>
        <v>0.54629999999997381</v>
      </c>
    </row>
    <row r="277" spans="1:13" x14ac:dyDescent="0.25">
      <c r="A277" s="3">
        <v>45988</v>
      </c>
      <c r="B277" t="s">
        <v>109</v>
      </c>
      <c r="C277" t="s">
        <v>553</v>
      </c>
      <c r="F277" s="20"/>
    </row>
    <row r="278" spans="1:13" x14ac:dyDescent="0.25">
      <c r="A278" s="3">
        <v>45989</v>
      </c>
      <c r="B278" t="s">
        <v>113</v>
      </c>
      <c r="C278" t="s">
        <v>252</v>
      </c>
    </row>
    <row r="279" spans="1:13" x14ac:dyDescent="0.25">
      <c r="A279" s="3">
        <v>45990</v>
      </c>
      <c r="B279" t="s">
        <v>35</v>
      </c>
    </row>
    <row r="280" spans="1:13" x14ac:dyDescent="0.25">
      <c r="A280" s="3">
        <v>45991</v>
      </c>
      <c r="B280" t="s">
        <v>35</v>
      </c>
    </row>
    <row r="281" spans="1:13" x14ac:dyDescent="0.25">
      <c r="A281" s="3">
        <v>45992</v>
      </c>
      <c r="B281" t="s">
        <v>93</v>
      </c>
      <c r="C281" t="s">
        <v>548</v>
      </c>
      <c r="D281" t="s">
        <v>26</v>
      </c>
      <c r="E281">
        <v>48101.74</v>
      </c>
      <c r="F281" s="27">
        <f>E276-E281</f>
        <v>55.200000000004366</v>
      </c>
      <c r="G281" t="s">
        <v>530</v>
      </c>
      <c r="H281" t="s">
        <v>432</v>
      </c>
      <c r="L281" s="48">
        <f>F281/200</f>
        <v>0.27600000000002184</v>
      </c>
    </row>
    <row r="282" spans="1:13" x14ac:dyDescent="0.25">
      <c r="A282" s="3">
        <v>45993</v>
      </c>
      <c r="B282" t="s">
        <v>100</v>
      </c>
      <c r="C282" t="s">
        <v>548</v>
      </c>
      <c r="D282" t="s">
        <v>26</v>
      </c>
      <c r="E282">
        <v>48026.54</v>
      </c>
      <c r="F282" s="7">
        <f>E281-E282</f>
        <v>75.19999999999709</v>
      </c>
      <c r="G282" t="s">
        <v>45</v>
      </c>
      <c r="H282" t="s">
        <v>432</v>
      </c>
      <c r="I282" t="s">
        <v>554</v>
      </c>
      <c r="L282" s="48">
        <f>F282/200</f>
        <v>0.37599999999998546</v>
      </c>
    </row>
    <row r="283" spans="1:13" x14ac:dyDescent="0.25">
      <c r="A283" s="3">
        <v>45994</v>
      </c>
      <c r="B283" t="s">
        <v>106</v>
      </c>
      <c r="C283" t="s">
        <v>52</v>
      </c>
    </row>
    <row r="284" spans="1:13" x14ac:dyDescent="0.25">
      <c r="A284" s="3">
        <v>45995</v>
      </c>
      <c r="B284" t="s">
        <v>109</v>
      </c>
      <c r="C284" t="s">
        <v>548</v>
      </c>
      <c r="D284" t="s">
        <v>26</v>
      </c>
      <c r="E284">
        <v>47900.3</v>
      </c>
      <c r="F284" s="76">
        <f>E282-E284</f>
        <v>126.23999999999796</v>
      </c>
      <c r="G284" t="s">
        <v>45</v>
      </c>
      <c r="H284" t="s">
        <v>48</v>
      </c>
      <c r="L284" s="48">
        <f>F284/200</f>
        <v>0.63119999999998977</v>
      </c>
      <c r="M284" s="20"/>
    </row>
    <row r="285" spans="1:13" x14ac:dyDescent="0.25">
      <c r="A285" s="3">
        <v>45996</v>
      </c>
      <c r="B285" t="s">
        <v>113</v>
      </c>
      <c r="C285" t="s">
        <v>555</v>
      </c>
      <c r="D285" t="s">
        <v>94</v>
      </c>
      <c r="E285">
        <v>47900.3</v>
      </c>
      <c r="F285" s="7">
        <v>1033.28</v>
      </c>
      <c r="G285" t="s">
        <v>166</v>
      </c>
      <c r="H285" t="s">
        <v>508</v>
      </c>
      <c r="I285" t="s">
        <v>556</v>
      </c>
      <c r="L285" s="48">
        <f>F285/200</f>
        <v>5.1663999999999994</v>
      </c>
    </row>
    <row r="286" spans="1:13" x14ac:dyDescent="0.25">
      <c r="A286" s="3">
        <v>45997</v>
      </c>
      <c r="B286" t="s">
        <v>35</v>
      </c>
    </row>
    <row r="287" spans="1:13" x14ac:dyDescent="0.25">
      <c r="A287" s="3">
        <v>45998</v>
      </c>
      <c r="B287" t="s">
        <v>35</v>
      </c>
      <c r="C287" t="s">
        <v>562</v>
      </c>
    </row>
    <row r="288" spans="1:13" x14ac:dyDescent="0.25">
      <c r="A288" s="3">
        <v>45999</v>
      </c>
      <c r="B288" t="s">
        <v>93</v>
      </c>
      <c r="C288" t="s">
        <v>557</v>
      </c>
      <c r="D288" t="s">
        <v>26</v>
      </c>
      <c r="E288">
        <v>47792.06</v>
      </c>
      <c r="F288" s="7">
        <f>E285-E288</f>
        <v>108.24000000000524</v>
      </c>
      <c r="G288" t="s">
        <v>45</v>
      </c>
      <c r="H288" t="s">
        <v>432</v>
      </c>
      <c r="L288" s="48">
        <f>F288/200</f>
        <v>0.54120000000002622</v>
      </c>
    </row>
    <row r="289" spans="1:13" x14ac:dyDescent="0.25">
      <c r="A289" s="3">
        <v>46000</v>
      </c>
      <c r="B289" t="s">
        <v>100</v>
      </c>
      <c r="C289" t="s">
        <v>52</v>
      </c>
      <c r="D289" t="s">
        <v>558</v>
      </c>
    </row>
    <row r="290" spans="1:13" x14ac:dyDescent="0.25">
      <c r="A290" s="3">
        <v>46001</v>
      </c>
      <c r="B290" t="s">
        <v>106</v>
      </c>
      <c r="C290" t="s">
        <v>557</v>
      </c>
      <c r="D290" t="s">
        <v>378</v>
      </c>
      <c r="E290">
        <v>47762.94</v>
      </c>
      <c r="F290" s="7">
        <f>E288-E290</f>
        <v>29.119999999995343</v>
      </c>
      <c r="G290" t="s">
        <v>559</v>
      </c>
      <c r="L290" s="48">
        <f>F290/200</f>
        <v>0.14559999999997672</v>
      </c>
    </row>
    <row r="291" spans="1:13" x14ac:dyDescent="0.25">
      <c r="A291" s="3">
        <v>46002</v>
      </c>
      <c r="B291" t="s">
        <v>109</v>
      </c>
      <c r="C291" t="s">
        <v>557</v>
      </c>
      <c r="D291" t="s">
        <v>374</v>
      </c>
      <c r="F291" s="54" t="s">
        <v>509</v>
      </c>
      <c r="G291" t="s">
        <v>560</v>
      </c>
      <c r="H291" t="s">
        <v>561</v>
      </c>
      <c r="L291" s="48">
        <f>900/200</f>
        <v>4.5</v>
      </c>
    </row>
    <row r="292" spans="1:13" x14ac:dyDescent="0.25">
      <c r="A292" s="3">
        <v>46003</v>
      </c>
      <c r="B292" t="s">
        <v>113</v>
      </c>
      <c r="C292" t="s">
        <v>563</v>
      </c>
      <c r="D292" t="s">
        <v>248</v>
      </c>
      <c r="E292">
        <v>50079.5</v>
      </c>
      <c r="F292" s="21">
        <f>-1*50000+E292</f>
        <v>79.5</v>
      </c>
      <c r="G292" t="s">
        <v>566</v>
      </c>
      <c r="H292" t="s">
        <v>564</v>
      </c>
      <c r="I292" t="s">
        <v>565</v>
      </c>
      <c r="L292" s="47">
        <f>F292/200</f>
        <v>0.39750000000000002</v>
      </c>
    </row>
    <row r="293" spans="1:13" x14ac:dyDescent="0.25">
      <c r="A293" s="3">
        <v>46004</v>
      </c>
      <c r="B293" t="s">
        <v>35</v>
      </c>
    </row>
    <row r="294" spans="1:13" x14ac:dyDescent="0.25">
      <c r="A294" s="3">
        <v>46005</v>
      </c>
      <c r="B294" t="s">
        <v>35</v>
      </c>
    </row>
    <row r="295" spans="1:13" x14ac:dyDescent="0.25">
      <c r="A295" s="3">
        <v>46006</v>
      </c>
      <c r="B295" t="s">
        <v>93</v>
      </c>
      <c r="C295" t="s">
        <v>563</v>
      </c>
      <c r="D295" t="s">
        <v>378</v>
      </c>
      <c r="E295">
        <v>49479</v>
      </c>
      <c r="F295" s="7">
        <f>E292-E295</f>
        <v>600.5</v>
      </c>
      <c r="G295" t="s">
        <v>568</v>
      </c>
      <c r="H295" t="s">
        <v>569</v>
      </c>
      <c r="I295" t="s">
        <v>565</v>
      </c>
      <c r="L295" s="48">
        <f>F295/200</f>
        <v>3.0024999999999999</v>
      </c>
      <c r="M295" t="s">
        <v>570</v>
      </c>
    </row>
    <row r="296" spans="1:13" x14ac:dyDescent="0.25">
      <c r="A296" s="3">
        <v>46007</v>
      </c>
      <c r="B296" t="s">
        <v>100</v>
      </c>
      <c r="C296" t="s">
        <v>563</v>
      </c>
      <c r="D296" t="s">
        <v>571</v>
      </c>
      <c r="E296">
        <v>49755.26</v>
      </c>
      <c r="F296" s="21">
        <f>E296-E295</f>
        <v>276.26000000000204</v>
      </c>
      <c r="G296" t="s">
        <v>572</v>
      </c>
      <c r="H296" t="s">
        <v>412</v>
      </c>
      <c r="I296" t="s">
        <v>565</v>
      </c>
      <c r="L296" s="47">
        <f>F296/200</f>
        <v>1.3813000000000102</v>
      </c>
    </row>
    <row r="297" spans="1:13" x14ac:dyDescent="0.25">
      <c r="A297" s="3">
        <v>46008</v>
      </c>
      <c r="B297" t="s">
        <v>106</v>
      </c>
      <c r="C297" t="s">
        <v>563</v>
      </c>
      <c r="D297" t="s">
        <v>573</v>
      </c>
      <c r="E297">
        <v>50603.56</v>
      </c>
      <c r="F297" s="21">
        <f>E297-E296</f>
        <v>848.29999999999563</v>
      </c>
      <c r="G297" t="s">
        <v>574</v>
      </c>
      <c r="H297" t="s">
        <v>575</v>
      </c>
      <c r="I297" t="s">
        <v>565</v>
      </c>
      <c r="L297" s="47">
        <f>F297/200</f>
        <v>4.2414999999999781</v>
      </c>
    </row>
    <row r="298" spans="1:13" x14ac:dyDescent="0.25">
      <c r="A298" s="3">
        <v>46009</v>
      </c>
      <c r="B298" t="s">
        <v>109</v>
      </c>
      <c r="C298" t="s">
        <v>563</v>
      </c>
      <c r="D298" t="s">
        <v>399</v>
      </c>
      <c r="E298">
        <v>51133.06</v>
      </c>
      <c r="F298" s="77" t="s">
        <v>509</v>
      </c>
      <c r="G298" t="s">
        <v>579</v>
      </c>
      <c r="H298" t="s">
        <v>576</v>
      </c>
      <c r="I298" t="s">
        <v>565</v>
      </c>
      <c r="L298" s="47" t="e">
        <f>F298/200</f>
        <v>#VALUE!</v>
      </c>
    </row>
    <row r="299" spans="1:13" x14ac:dyDescent="0.25">
      <c r="A299" s="3">
        <v>46010</v>
      </c>
      <c r="B299" t="s">
        <v>113</v>
      </c>
      <c r="C299" t="s">
        <v>577</v>
      </c>
      <c r="F299" t="s">
        <v>578</v>
      </c>
    </row>
    <row r="300" spans="1:13" x14ac:dyDescent="0.25">
      <c r="A300" s="3">
        <v>46011</v>
      </c>
      <c r="B300" t="s">
        <v>35</v>
      </c>
      <c r="C300" t="s">
        <v>577</v>
      </c>
    </row>
    <row r="301" spans="1:13" x14ac:dyDescent="0.25">
      <c r="A301" s="3">
        <v>46012</v>
      </c>
      <c r="B301" t="s">
        <v>35</v>
      </c>
      <c r="C301" t="s">
        <v>577</v>
      </c>
    </row>
    <row r="302" spans="1:13" x14ac:dyDescent="0.25">
      <c r="A302" s="3">
        <v>46013</v>
      </c>
      <c r="B302" t="s">
        <v>93</v>
      </c>
      <c r="C302" t="s">
        <v>577</v>
      </c>
      <c r="D302" t="s">
        <v>581</v>
      </c>
    </row>
    <row r="303" spans="1:13" x14ac:dyDescent="0.25">
      <c r="A303" s="3">
        <v>46014</v>
      </c>
      <c r="B303" t="s">
        <v>100</v>
      </c>
      <c r="C303" t="s">
        <v>580</v>
      </c>
      <c r="D303" t="s">
        <v>385</v>
      </c>
      <c r="E303">
        <v>50018.8</v>
      </c>
      <c r="F303" s="50">
        <f>E303-50000</f>
        <v>18.80000000000291</v>
      </c>
      <c r="G303" t="s">
        <v>522</v>
      </c>
      <c r="H303" t="s">
        <v>582</v>
      </c>
      <c r="I303" t="s">
        <v>565</v>
      </c>
      <c r="L303" s="47">
        <f>F303/200</f>
        <v>9.4000000000014558E-2</v>
      </c>
    </row>
    <row r="304" spans="1:13" x14ac:dyDescent="0.25">
      <c r="A304" s="3">
        <v>46015</v>
      </c>
      <c r="B304" t="s">
        <v>106</v>
      </c>
      <c r="C304" t="s">
        <v>580</v>
      </c>
      <c r="D304" t="s">
        <v>583</v>
      </c>
      <c r="E304">
        <v>49578.5</v>
      </c>
      <c r="F304" s="7">
        <f>E303-E304</f>
        <v>440.30000000000291</v>
      </c>
      <c r="G304" t="s">
        <v>584</v>
      </c>
      <c r="I304" t="s">
        <v>565</v>
      </c>
    </row>
    <row r="305" spans="1:12" x14ac:dyDescent="0.25">
      <c r="A305" s="3">
        <v>46016</v>
      </c>
      <c r="B305" t="s">
        <v>109</v>
      </c>
      <c r="C305" t="s">
        <v>585</v>
      </c>
    </row>
    <row r="306" spans="1:12" x14ac:dyDescent="0.25">
      <c r="A306" s="3">
        <v>46017</v>
      </c>
      <c r="B306" t="s">
        <v>113</v>
      </c>
      <c r="C306" t="s">
        <v>580</v>
      </c>
      <c r="D306" t="s">
        <v>378</v>
      </c>
      <c r="E306">
        <v>49406.1</v>
      </c>
      <c r="F306" s="7">
        <f>E304-E306</f>
        <v>172.40000000000146</v>
      </c>
      <c r="G306" t="s">
        <v>587</v>
      </c>
      <c r="H306" t="s">
        <v>586</v>
      </c>
      <c r="I306" t="s">
        <v>565</v>
      </c>
      <c r="L306" s="6">
        <f>F306/200</f>
        <v>0.86200000000000732</v>
      </c>
    </row>
    <row r="307" spans="1:12" x14ac:dyDescent="0.25">
      <c r="A307" s="3">
        <v>46018</v>
      </c>
      <c r="B307" t="s">
        <v>35</v>
      </c>
      <c r="C307" t="s">
        <v>607</v>
      </c>
    </row>
    <row r="308" spans="1:12" x14ac:dyDescent="0.25">
      <c r="A308" s="3">
        <v>46019</v>
      </c>
      <c r="B308" t="s">
        <v>35</v>
      </c>
      <c r="C308">
        <f>0.25^2</f>
        <v>6.25E-2</v>
      </c>
      <c r="D308">
        <f>1/C308</f>
        <v>16</v>
      </c>
      <c r="E308">
        <f>2000/D308</f>
        <v>125</v>
      </c>
      <c r="F308" t="s">
        <v>610</v>
      </c>
      <c r="G308" t="s">
        <v>588</v>
      </c>
    </row>
    <row r="309" spans="1:12" x14ac:dyDescent="0.25">
      <c r="A309" s="3">
        <v>46020</v>
      </c>
      <c r="B309" t="s">
        <v>93</v>
      </c>
      <c r="C309" t="s">
        <v>580</v>
      </c>
      <c r="D309" t="s">
        <v>378</v>
      </c>
      <c r="E309">
        <v>51157.5</v>
      </c>
      <c r="F309" s="11">
        <f>E309-E306</f>
        <v>1751.4000000000015</v>
      </c>
      <c r="G309" t="s">
        <v>589</v>
      </c>
      <c r="H309" t="s">
        <v>590</v>
      </c>
      <c r="L309" s="47">
        <f>F309/200</f>
        <v>8.7570000000000068</v>
      </c>
    </row>
    <row r="310" spans="1:12" x14ac:dyDescent="0.25">
      <c r="A310" s="3">
        <v>46021</v>
      </c>
      <c r="B310" t="s">
        <v>100</v>
      </c>
      <c r="C310" t="s">
        <v>580</v>
      </c>
      <c r="D310" t="s">
        <v>26</v>
      </c>
      <c r="E310">
        <v>50841.3</v>
      </c>
      <c r="F310" s="7">
        <f>E309-E310</f>
        <v>316.19999999999709</v>
      </c>
      <c r="G310" t="s">
        <v>45</v>
      </c>
      <c r="H310" t="s">
        <v>432</v>
      </c>
      <c r="I310" t="s">
        <v>606</v>
      </c>
      <c r="L310" s="48">
        <f>F310/200</f>
        <v>1.5809999999999855</v>
      </c>
    </row>
    <row r="311" spans="1:12" x14ac:dyDescent="0.25">
      <c r="A311" s="3">
        <v>46022</v>
      </c>
      <c r="B311" t="s">
        <v>106</v>
      </c>
      <c r="C311" t="s">
        <v>580</v>
      </c>
      <c r="D311" t="s">
        <v>385</v>
      </c>
      <c r="E311">
        <v>51180.1</v>
      </c>
      <c r="F311" s="11">
        <f>E311-E310</f>
        <v>338.79999999999563</v>
      </c>
      <c r="G311" t="s">
        <v>619</v>
      </c>
      <c r="H311" t="s">
        <v>426</v>
      </c>
      <c r="I311" t="s">
        <v>620</v>
      </c>
      <c r="L311" s="47">
        <f>F311/200</f>
        <v>1.6939999999999782</v>
      </c>
    </row>
    <row r="312" spans="1:12" x14ac:dyDescent="0.25">
      <c r="A312" s="3">
        <v>46023</v>
      </c>
      <c r="B312" t="s">
        <v>109</v>
      </c>
      <c r="C312" t="s">
        <v>608</v>
      </c>
      <c r="D312" t="s">
        <v>609</v>
      </c>
    </row>
    <row r="313" spans="1:12" x14ac:dyDescent="0.25">
      <c r="A313" s="3">
        <v>46024</v>
      </c>
      <c r="B313" t="s">
        <v>113</v>
      </c>
      <c r="C313" t="s">
        <v>580</v>
      </c>
      <c r="D313" t="s">
        <v>399</v>
      </c>
      <c r="E313">
        <v>50820.1</v>
      </c>
      <c r="F313" s="7">
        <f>E311-E313</f>
        <v>360</v>
      </c>
      <c r="G313" t="s">
        <v>624</v>
      </c>
      <c r="H313" t="s">
        <v>625</v>
      </c>
      <c r="I313" t="s">
        <v>626</v>
      </c>
      <c r="L313" s="48">
        <f>F313/200</f>
        <v>1.8</v>
      </c>
    </row>
    <row r="314" spans="1:12" x14ac:dyDescent="0.25">
      <c r="A314" s="3">
        <v>46025</v>
      </c>
      <c r="B314" t="s">
        <v>35</v>
      </c>
    </row>
    <row r="315" spans="1:12" x14ac:dyDescent="0.25">
      <c r="A315" s="3">
        <v>46026</v>
      </c>
      <c r="B315" t="s">
        <v>35</v>
      </c>
    </row>
    <row r="316" spans="1:12" x14ac:dyDescent="0.25">
      <c r="A316" s="3">
        <v>46027</v>
      </c>
      <c r="B316" t="s">
        <v>93</v>
      </c>
      <c r="C316" t="s">
        <v>580</v>
      </c>
      <c r="D316" t="s">
        <v>698</v>
      </c>
      <c r="E316">
        <v>50575.8</v>
      </c>
      <c r="F316" s="7">
        <f>E313-E316</f>
        <v>244.29999999999563</v>
      </c>
      <c r="G316" t="s">
        <v>699</v>
      </c>
      <c r="H316" t="s">
        <v>528</v>
      </c>
      <c r="I316" t="s">
        <v>700</v>
      </c>
      <c r="L316" s="48">
        <f>F316/200</f>
        <v>1.2214999999999783</v>
      </c>
    </row>
    <row r="317" spans="1:12" x14ac:dyDescent="0.25">
      <c r="A317" s="3">
        <v>46028</v>
      </c>
      <c r="B317" t="s">
        <v>100</v>
      </c>
      <c r="C317" t="s">
        <v>580</v>
      </c>
      <c r="D317" t="s">
        <v>385</v>
      </c>
      <c r="E317">
        <v>50144.6</v>
      </c>
      <c r="F317" s="7">
        <f>E316-E317</f>
        <v>431.20000000000437</v>
      </c>
      <c r="G317" t="s">
        <v>102</v>
      </c>
      <c r="H317" t="s">
        <v>508</v>
      </c>
      <c r="I317" t="s">
        <v>701</v>
      </c>
      <c r="L317" s="48">
        <f>F317/200</f>
        <v>2.1560000000000219</v>
      </c>
    </row>
    <row r="318" spans="1:12" x14ac:dyDescent="0.25">
      <c r="A318" s="3">
        <v>46029</v>
      </c>
      <c r="B318" t="s">
        <v>106</v>
      </c>
      <c r="C318" t="s">
        <v>580</v>
      </c>
      <c r="D318" t="s">
        <v>378</v>
      </c>
      <c r="E318">
        <v>50394.8</v>
      </c>
      <c r="F318" s="21">
        <f>E318-E317</f>
        <v>250.20000000000437</v>
      </c>
      <c r="G318" t="s">
        <v>702</v>
      </c>
      <c r="H318" t="s">
        <v>703</v>
      </c>
      <c r="I318" t="s">
        <v>704</v>
      </c>
      <c r="L318" s="47">
        <f>F318/200</f>
        <v>1.2510000000000219</v>
      </c>
    </row>
    <row r="319" spans="1:12" x14ac:dyDescent="0.25">
      <c r="A319" s="3">
        <v>46030</v>
      </c>
      <c r="B319" t="s">
        <v>109</v>
      </c>
      <c r="C319" t="s">
        <v>580</v>
      </c>
      <c r="D319" t="s">
        <v>385</v>
      </c>
      <c r="E319">
        <v>49242</v>
      </c>
      <c r="F319" s="50" t="s">
        <v>509</v>
      </c>
      <c r="G319" t="s">
        <v>705</v>
      </c>
    </row>
    <row r="320" spans="1:12" x14ac:dyDescent="0.25">
      <c r="A320" s="3">
        <v>46031</v>
      </c>
      <c r="B320" t="s">
        <v>113</v>
      </c>
      <c r="G320" t="s">
        <v>706</v>
      </c>
    </row>
    <row r="321" spans="1:2" x14ac:dyDescent="0.25">
      <c r="A321" s="3">
        <v>46032</v>
      </c>
      <c r="B321" t="s">
        <v>35</v>
      </c>
    </row>
    <row r="322" spans="1:2" x14ac:dyDescent="0.25">
      <c r="A322" s="3">
        <v>46033</v>
      </c>
      <c r="B322" t="s">
        <v>35</v>
      </c>
    </row>
    <row r="323" spans="1:2" x14ac:dyDescent="0.25">
      <c r="A323" s="3">
        <v>46034</v>
      </c>
      <c r="B323" t="s">
        <v>93</v>
      </c>
    </row>
    <row r="324" spans="1:2" x14ac:dyDescent="0.25">
      <c r="A324" s="3">
        <v>46035</v>
      </c>
      <c r="B324" t="s">
        <v>100</v>
      </c>
    </row>
    <row r="325" spans="1:2" x14ac:dyDescent="0.25">
      <c r="A325" s="3">
        <v>46036</v>
      </c>
      <c r="B325" t="s">
        <v>106</v>
      </c>
    </row>
    <row r="326" spans="1:2" x14ac:dyDescent="0.25">
      <c r="A326" s="3">
        <v>46037</v>
      </c>
      <c r="B326" t="s">
        <v>109</v>
      </c>
    </row>
    <row r="327" spans="1:2" x14ac:dyDescent="0.25">
      <c r="A327" s="3">
        <v>46038</v>
      </c>
      <c r="B327" t="s">
        <v>113</v>
      </c>
    </row>
    <row r="328" spans="1:2" x14ac:dyDescent="0.25">
      <c r="A328" s="3">
        <v>46039</v>
      </c>
      <c r="B328" t="s">
        <v>35</v>
      </c>
    </row>
    <row r="329" spans="1:2" x14ac:dyDescent="0.25">
      <c r="A329" s="3">
        <v>46040</v>
      </c>
      <c r="B329" t="s">
        <v>35</v>
      </c>
    </row>
  </sheetData>
  <hyperlinks>
    <hyperlink ref="K2" r:id="rId1" display="C:\Users\adams\OneDrive\DayTrading" xr:uid="{9E19766F-3787-4167-BA05-3148AFC696D0}"/>
  </hyperlinks>
  <pageMargins left="0.7" right="0.7" top="0.75" bottom="0.75" header="0.3" footer="0.3"/>
  <pageSetup orientation="portrait" horizontalDpi="4294967293"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DD3B-EA1A-4226-9FCA-0819B7A38B91}">
  <dimension ref="A1:U126"/>
  <sheetViews>
    <sheetView zoomScale="85" zoomScaleNormal="85" workbookViewId="0">
      <selection activeCell="D16" sqref="D16"/>
    </sheetView>
  </sheetViews>
  <sheetFormatPr defaultRowHeight="15" x14ac:dyDescent="0.25"/>
  <cols>
    <col min="1" max="1" width="18" customWidth="1"/>
    <col min="2" max="2" width="41.7109375" customWidth="1"/>
    <col min="3" max="3" width="17" customWidth="1"/>
    <col min="4" max="4" width="13" customWidth="1"/>
    <col min="5" max="5" width="11.85546875" customWidth="1"/>
    <col min="6" max="6" width="9.85546875" bestFit="1" customWidth="1"/>
    <col min="7" max="7" width="9.42578125" bestFit="1" customWidth="1"/>
    <col min="8" max="8" width="9.85546875" bestFit="1" customWidth="1"/>
    <col min="9" max="11" width="9.42578125" bestFit="1" customWidth="1"/>
  </cols>
  <sheetData>
    <row r="1" spans="1:12" x14ac:dyDescent="0.25">
      <c r="A1" t="s">
        <v>1</v>
      </c>
      <c r="B1" t="s">
        <v>2</v>
      </c>
      <c r="F1" t="s">
        <v>259</v>
      </c>
      <c r="H1" s="20" t="s">
        <v>265</v>
      </c>
      <c r="I1" s="20">
        <f>SUM(I2:I13)</f>
        <v>435.73</v>
      </c>
    </row>
    <row r="2" spans="1:12" x14ac:dyDescent="0.25">
      <c r="A2" t="s">
        <v>3</v>
      </c>
      <c r="B2" t="s">
        <v>4</v>
      </c>
      <c r="C2" t="s">
        <v>414</v>
      </c>
      <c r="D2" s="20" t="s">
        <v>420</v>
      </c>
      <c r="F2" t="s">
        <v>273</v>
      </c>
      <c r="G2">
        <v>1</v>
      </c>
      <c r="H2">
        <v>3.95</v>
      </c>
      <c r="I2">
        <f>H2*G2</f>
        <v>3.95</v>
      </c>
    </row>
    <row r="3" spans="1:12" x14ac:dyDescent="0.25">
      <c r="A3" t="s">
        <v>201</v>
      </c>
      <c r="B3" t="s">
        <v>196</v>
      </c>
      <c r="C3" t="s">
        <v>422</v>
      </c>
      <c r="D3" s="20" t="s">
        <v>423</v>
      </c>
      <c r="F3" t="s">
        <v>267</v>
      </c>
      <c r="G3">
        <v>6</v>
      </c>
      <c r="H3">
        <v>3.62</v>
      </c>
      <c r="I3">
        <f>G3*H3</f>
        <v>21.72</v>
      </c>
    </row>
    <row r="4" spans="1:12" x14ac:dyDescent="0.25">
      <c r="B4" t="s">
        <v>197</v>
      </c>
      <c r="F4" t="s">
        <v>261</v>
      </c>
      <c r="G4">
        <v>19</v>
      </c>
      <c r="H4">
        <v>1.33</v>
      </c>
      <c r="I4">
        <f>G4*H4</f>
        <v>25.270000000000003</v>
      </c>
    </row>
    <row r="5" spans="1:12" x14ac:dyDescent="0.25">
      <c r="B5" t="s">
        <v>198</v>
      </c>
      <c r="F5" t="s">
        <v>268</v>
      </c>
      <c r="G5">
        <v>1</v>
      </c>
      <c r="H5">
        <v>1.25</v>
      </c>
      <c r="I5">
        <f t="shared" ref="I5:I13" si="0">H5*G5</f>
        <v>1.25</v>
      </c>
    </row>
    <row r="6" spans="1:12" x14ac:dyDescent="0.25">
      <c r="B6" t="s">
        <v>199</v>
      </c>
      <c r="F6" t="s">
        <v>260</v>
      </c>
      <c r="G6">
        <f>21*9+1</f>
        <v>190</v>
      </c>
      <c r="H6">
        <v>0.68</v>
      </c>
      <c r="I6">
        <f t="shared" si="0"/>
        <v>129.20000000000002</v>
      </c>
    </row>
    <row r="7" spans="1:12" x14ac:dyDescent="0.25">
      <c r="B7" t="s">
        <v>200</v>
      </c>
      <c r="F7" t="s">
        <v>269</v>
      </c>
      <c r="G7">
        <v>15</v>
      </c>
      <c r="H7">
        <v>0.44</v>
      </c>
      <c r="I7">
        <f t="shared" si="0"/>
        <v>6.6</v>
      </c>
    </row>
    <row r="8" spans="1:12" x14ac:dyDescent="0.25">
      <c r="B8" s="20" t="s">
        <v>202</v>
      </c>
      <c r="F8" t="s">
        <v>270</v>
      </c>
      <c r="G8">
        <v>9</v>
      </c>
      <c r="H8">
        <v>3.99</v>
      </c>
      <c r="I8">
        <f t="shared" si="0"/>
        <v>35.910000000000004</v>
      </c>
    </row>
    <row r="9" spans="1:12" x14ac:dyDescent="0.25">
      <c r="B9" t="s">
        <v>203</v>
      </c>
      <c r="F9" t="s">
        <v>272</v>
      </c>
      <c r="G9">
        <v>6</v>
      </c>
      <c r="H9">
        <v>4.68</v>
      </c>
      <c r="I9">
        <f t="shared" si="0"/>
        <v>28.08</v>
      </c>
    </row>
    <row r="10" spans="1:12" x14ac:dyDescent="0.25">
      <c r="B10" t="s">
        <v>204</v>
      </c>
      <c r="F10" t="s">
        <v>271</v>
      </c>
      <c r="G10">
        <v>1</v>
      </c>
      <c r="H10">
        <v>25</v>
      </c>
      <c r="I10">
        <f t="shared" si="0"/>
        <v>25</v>
      </c>
    </row>
    <row r="11" spans="1:12" x14ac:dyDescent="0.25">
      <c r="B11" s="20" t="s">
        <v>286</v>
      </c>
      <c r="F11" t="s">
        <v>263</v>
      </c>
      <c r="G11">
        <f>48*9+1</f>
        <v>433</v>
      </c>
      <c r="H11">
        <v>0.19</v>
      </c>
      <c r="I11">
        <f t="shared" si="0"/>
        <v>82.27</v>
      </c>
    </row>
    <row r="12" spans="1:12" x14ac:dyDescent="0.25">
      <c r="F12" t="s">
        <v>262</v>
      </c>
      <c r="G12">
        <f>9*20+8</f>
        <v>188</v>
      </c>
      <c r="H12">
        <v>0.24</v>
      </c>
      <c r="I12">
        <f t="shared" si="0"/>
        <v>45.12</v>
      </c>
    </row>
    <row r="13" spans="1:12" x14ac:dyDescent="0.25">
      <c r="A13" t="s">
        <v>243</v>
      </c>
      <c r="C13" t="s">
        <v>244</v>
      </c>
      <c r="D13" s="66">
        <v>5200</v>
      </c>
      <c r="F13" t="s">
        <v>264</v>
      </c>
      <c r="G13">
        <f>13*8+8</f>
        <v>112</v>
      </c>
      <c r="H13">
        <v>0.28000000000000003</v>
      </c>
      <c r="I13">
        <f t="shared" si="0"/>
        <v>31.360000000000003</v>
      </c>
    </row>
    <row r="14" spans="1:12" x14ac:dyDescent="0.25">
      <c r="A14" s="43">
        <f>SUM(D10:D19)</f>
        <v>22875</v>
      </c>
      <c r="C14" t="s">
        <v>245</v>
      </c>
      <c r="D14" s="35">
        <v>1900</v>
      </c>
      <c r="F14" t="s">
        <v>567</v>
      </c>
      <c r="G14">
        <v>5</v>
      </c>
      <c r="I14">
        <f>G14*H14</f>
        <v>0</v>
      </c>
    </row>
    <row r="15" spans="1:12" x14ac:dyDescent="0.25">
      <c r="A15" t="s">
        <v>327</v>
      </c>
      <c r="C15" t="s">
        <v>172</v>
      </c>
      <c r="D15" s="66">
        <v>2600</v>
      </c>
    </row>
    <row r="16" spans="1:12" x14ac:dyDescent="0.25">
      <c r="A16" s="43">
        <f>SUM(D12:D18)-SUM(D20:D23)</f>
        <v>4845.0400000000009</v>
      </c>
      <c r="C16" t="s">
        <v>173</v>
      </c>
      <c r="D16" s="35">
        <v>6500</v>
      </c>
      <c r="F16" t="s">
        <v>266</v>
      </c>
      <c r="G16">
        <f>SUM(G2:G15)</f>
        <v>986</v>
      </c>
      <c r="I16" s="35"/>
      <c r="L16" s="34"/>
    </row>
    <row r="17" spans="1:4" x14ac:dyDescent="0.25">
      <c r="C17" t="s">
        <v>174</v>
      </c>
      <c r="D17" s="35">
        <v>4600</v>
      </c>
    </row>
    <row r="18" spans="1:4" x14ac:dyDescent="0.25">
      <c r="C18" t="s">
        <v>0</v>
      </c>
      <c r="D18" s="43">
        <v>75</v>
      </c>
    </row>
    <row r="19" spans="1:4" x14ac:dyDescent="0.25">
      <c r="A19" t="s">
        <v>5</v>
      </c>
      <c r="C19" t="s">
        <v>419</v>
      </c>
      <c r="D19" s="43">
        <v>2000</v>
      </c>
    </row>
    <row r="20" spans="1:4" x14ac:dyDescent="0.25">
      <c r="B20" s="4"/>
      <c r="C20" t="s">
        <v>317</v>
      </c>
      <c r="D20" s="43">
        <v>0</v>
      </c>
    </row>
    <row r="21" spans="1:4" x14ac:dyDescent="0.25">
      <c r="C21" t="s">
        <v>318</v>
      </c>
      <c r="D21" s="65">
        <v>16029.96</v>
      </c>
    </row>
    <row r="22" spans="1:4" x14ac:dyDescent="0.25">
      <c r="C22" t="s">
        <v>229</v>
      </c>
      <c r="D22" s="56"/>
    </row>
    <row r="24" spans="1:4" x14ac:dyDescent="0.25">
      <c r="D24" t="s">
        <v>121</v>
      </c>
    </row>
    <row r="25" spans="1:4" x14ac:dyDescent="0.25">
      <c r="B25" s="45"/>
      <c r="D25" t="s">
        <v>122</v>
      </c>
    </row>
    <row r="26" spans="1:4" x14ac:dyDescent="0.25">
      <c r="D26" t="s">
        <v>159</v>
      </c>
    </row>
    <row r="29" spans="1:4" x14ac:dyDescent="0.25">
      <c r="D29" t="s">
        <v>194</v>
      </c>
    </row>
    <row r="30" spans="1:4" x14ac:dyDescent="0.25">
      <c r="D30" t="s">
        <v>193</v>
      </c>
    </row>
    <row r="31" spans="1:4" x14ac:dyDescent="0.25">
      <c r="D31" t="s">
        <v>192</v>
      </c>
    </row>
    <row r="32" spans="1:4" x14ac:dyDescent="0.25">
      <c r="D32" t="s">
        <v>237</v>
      </c>
    </row>
    <row r="33" spans="2:4" x14ac:dyDescent="0.25">
      <c r="D33" t="s">
        <v>298</v>
      </c>
    </row>
    <row r="34" spans="2:4" x14ac:dyDescent="0.25">
      <c r="D34" t="s">
        <v>291</v>
      </c>
    </row>
    <row r="35" spans="2:4" x14ac:dyDescent="0.25">
      <c r="D35" t="s">
        <v>308</v>
      </c>
    </row>
    <row r="36" spans="2:4" x14ac:dyDescent="0.25">
      <c r="D36" t="s">
        <v>313</v>
      </c>
    </row>
    <row r="37" spans="2:4" x14ac:dyDescent="0.25">
      <c r="B37" s="4"/>
      <c r="D37" t="s">
        <v>421</v>
      </c>
    </row>
    <row r="38" spans="2:4" x14ac:dyDescent="0.25">
      <c r="B38" s="5"/>
      <c r="D38" t="s">
        <v>440</v>
      </c>
    </row>
    <row r="39" spans="2:4" x14ac:dyDescent="0.25">
      <c r="D39" t="s">
        <v>494</v>
      </c>
    </row>
    <row r="40" spans="2:4" x14ac:dyDescent="0.25">
      <c r="D40" t="s">
        <v>495</v>
      </c>
    </row>
    <row r="41" spans="2:4" x14ac:dyDescent="0.25">
      <c r="D41" t="s">
        <v>500</v>
      </c>
    </row>
    <row r="42" spans="2:4" x14ac:dyDescent="0.25">
      <c r="B42" s="4" t="s">
        <v>697</v>
      </c>
      <c r="D42" t="s">
        <v>520</v>
      </c>
    </row>
    <row r="43" spans="2:4" x14ac:dyDescent="0.25">
      <c r="B43" t="s">
        <v>287</v>
      </c>
      <c r="D43" t="s">
        <v>521</v>
      </c>
    </row>
    <row r="44" spans="2:4" x14ac:dyDescent="0.25">
      <c r="B44" t="s">
        <v>288</v>
      </c>
      <c r="D44" t="s">
        <v>529</v>
      </c>
    </row>
    <row r="45" spans="2:4" x14ac:dyDescent="0.25">
      <c r="B45" t="s">
        <v>289</v>
      </c>
      <c r="D45" t="s">
        <v>537</v>
      </c>
    </row>
    <row r="46" spans="2:4" x14ac:dyDescent="0.25">
      <c r="B46" s="4" t="s">
        <v>6</v>
      </c>
      <c r="D46" t="s">
        <v>538</v>
      </c>
    </row>
    <row r="47" spans="2:4" x14ac:dyDescent="0.25">
      <c r="B47" t="s">
        <v>301</v>
      </c>
    </row>
    <row r="48" spans="2:4" x14ac:dyDescent="0.25">
      <c r="B48" s="4" t="s">
        <v>7</v>
      </c>
    </row>
    <row r="49" spans="2:21" x14ac:dyDescent="0.25">
      <c r="B49" t="s">
        <v>195</v>
      </c>
    </row>
    <row r="52" spans="2:21" x14ac:dyDescent="0.25">
      <c r="B52" t="s">
        <v>435</v>
      </c>
    </row>
    <row r="55" spans="2:21" x14ac:dyDescent="0.25">
      <c r="E55" s="30"/>
      <c r="S55" t="s">
        <v>614</v>
      </c>
      <c r="T55" t="s">
        <v>615</v>
      </c>
      <c r="U55" t="s">
        <v>616</v>
      </c>
    </row>
    <row r="56" spans="2:21" x14ac:dyDescent="0.25">
      <c r="C56" t="s">
        <v>170</v>
      </c>
      <c r="D56" s="30">
        <v>1300</v>
      </c>
      <c r="F56" t="s">
        <v>613</v>
      </c>
      <c r="H56" s="34">
        <v>16.7</v>
      </c>
      <c r="I56" s="78">
        <v>18.7</v>
      </c>
      <c r="J56" s="78">
        <v>19.600000000000001</v>
      </c>
      <c r="K56" s="34">
        <v>33.4</v>
      </c>
      <c r="L56" s="78">
        <v>37.4</v>
      </c>
      <c r="M56" s="78">
        <v>39.200000000000003</v>
      </c>
      <c r="N56" s="78">
        <v>40</v>
      </c>
      <c r="O56" s="34">
        <v>83.5</v>
      </c>
      <c r="P56" s="30">
        <v>85</v>
      </c>
      <c r="Q56" s="30">
        <v>140</v>
      </c>
      <c r="S56" s="30">
        <v>320</v>
      </c>
      <c r="T56" s="30">
        <v>99</v>
      </c>
      <c r="U56" s="78">
        <v>134.22999999999999</v>
      </c>
    </row>
    <row r="57" spans="2:21" x14ac:dyDescent="0.25">
      <c r="E57" s="30"/>
      <c r="F57">
        <f>SUM(H57:Q57)</f>
        <v>31</v>
      </c>
      <c r="H57">
        <v>1</v>
      </c>
      <c r="I57">
        <v>5</v>
      </c>
      <c r="J57">
        <v>1</v>
      </c>
      <c r="K57">
        <v>10</v>
      </c>
      <c r="L57">
        <v>8</v>
      </c>
      <c r="M57">
        <v>1</v>
      </c>
      <c r="N57">
        <v>1</v>
      </c>
      <c r="O57">
        <v>1</v>
      </c>
      <c r="P57">
        <v>2</v>
      </c>
      <c r="Q57">
        <v>1</v>
      </c>
    </row>
    <row r="58" spans="2:21" x14ac:dyDescent="0.25">
      <c r="C58" t="s">
        <v>171</v>
      </c>
      <c r="D58" s="30">
        <v>500</v>
      </c>
      <c r="E58" s="30"/>
      <c r="F58" s="35"/>
      <c r="H58" s="34">
        <f t="shared" ref="H58:P58" si="1">H56*H57</f>
        <v>16.7</v>
      </c>
      <c r="I58" s="78">
        <f t="shared" si="1"/>
        <v>93.5</v>
      </c>
      <c r="J58" s="78">
        <f t="shared" si="1"/>
        <v>19.600000000000001</v>
      </c>
      <c r="K58" s="34">
        <f t="shared" si="1"/>
        <v>334</v>
      </c>
      <c r="L58" s="78">
        <f t="shared" si="1"/>
        <v>299.2</v>
      </c>
      <c r="M58" s="78">
        <f t="shared" si="1"/>
        <v>39.200000000000003</v>
      </c>
      <c r="N58" s="78">
        <f t="shared" si="1"/>
        <v>40</v>
      </c>
      <c r="O58" s="34">
        <f t="shared" si="1"/>
        <v>83.5</v>
      </c>
      <c r="P58" s="30">
        <f t="shared" si="1"/>
        <v>170</v>
      </c>
      <c r="Q58" s="78">
        <f>+Q56*Q57</f>
        <v>140</v>
      </c>
    </row>
    <row r="59" spans="2:21" x14ac:dyDescent="0.25">
      <c r="C59" t="s">
        <v>172</v>
      </c>
      <c r="D59" s="30">
        <v>250</v>
      </c>
      <c r="E59" s="30"/>
      <c r="F59" s="20" t="s">
        <v>314</v>
      </c>
      <c r="H59" s="34">
        <f>SUM(H58:Q58)</f>
        <v>1235.7</v>
      </c>
    </row>
    <row r="60" spans="2:21" x14ac:dyDescent="0.25">
      <c r="C60" t="s">
        <v>173</v>
      </c>
      <c r="D60" s="30">
        <v>200</v>
      </c>
      <c r="E60" s="30"/>
      <c r="F60" t="s">
        <v>612</v>
      </c>
      <c r="H60" s="30">
        <f>SUM(S56:W56)</f>
        <v>553.23</v>
      </c>
    </row>
    <row r="61" spans="2:21" x14ac:dyDescent="0.25">
      <c r="C61" t="s">
        <v>174</v>
      </c>
      <c r="D61" s="30">
        <v>350</v>
      </c>
      <c r="F61" t="s">
        <v>611</v>
      </c>
      <c r="H61" s="30">
        <v>2000</v>
      </c>
    </row>
    <row r="63" spans="2:21" x14ac:dyDescent="0.25">
      <c r="F63" t="s">
        <v>617</v>
      </c>
      <c r="H63" s="34">
        <f>H61-H60-H59</f>
        <v>211.06999999999994</v>
      </c>
      <c r="J63" t="s">
        <v>618</v>
      </c>
    </row>
    <row r="65" spans="1:12" x14ac:dyDescent="0.25">
      <c r="E65" t="s">
        <v>299</v>
      </c>
    </row>
    <row r="66" spans="1:12" x14ac:dyDescent="0.25">
      <c r="C66" t="s">
        <v>230</v>
      </c>
      <c r="D66" t="s">
        <v>236</v>
      </c>
      <c r="E66" s="29">
        <v>155</v>
      </c>
    </row>
    <row r="67" spans="1:12" x14ac:dyDescent="0.25">
      <c r="C67" s="40">
        <f>SUM(D67:D111)-E66</f>
        <v>8439.59</v>
      </c>
      <c r="D67" s="32">
        <v>75</v>
      </c>
      <c r="F67" t="s">
        <v>316</v>
      </c>
      <c r="G67" s="20">
        <v>32.17</v>
      </c>
      <c r="H67" s="20">
        <v>55.02</v>
      </c>
      <c r="I67" s="20">
        <v>55.37</v>
      </c>
      <c r="J67" s="20">
        <v>77.62</v>
      </c>
      <c r="L67">
        <f>SUM(G67:J67)</f>
        <v>220.18</v>
      </c>
    </row>
    <row r="68" spans="1:12" x14ac:dyDescent="0.25">
      <c r="D68" s="32">
        <v>140</v>
      </c>
      <c r="F68" t="s">
        <v>315</v>
      </c>
      <c r="G68" s="20"/>
    </row>
    <row r="69" spans="1:12" x14ac:dyDescent="0.25">
      <c r="D69" s="32">
        <v>100</v>
      </c>
    </row>
    <row r="70" spans="1:12" x14ac:dyDescent="0.25">
      <c r="D70" s="32">
        <v>70</v>
      </c>
      <c r="F70" t="s">
        <v>290</v>
      </c>
    </row>
    <row r="71" spans="1:12" x14ac:dyDescent="0.25">
      <c r="D71" s="32">
        <v>150</v>
      </c>
    </row>
    <row r="72" spans="1:12" x14ac:dyDescent="0.25">
      <c r="D72" s="32">
        <v>626.44000000000005</v>
      </c>
    </row>
    <row r="73" spans="1:12" x14ac:dyDescent="0.25">
      <c r="D73" s="32">
        <v>100</v>
      </c>
    </row>
    <row r="74" spans="1:12" x14ac:dyDescent="0.25">
      <c r="D74" s="32">
        <v>350</v>
      </c>
    </row>
    <row r="75" spans="1:12" x14ac:dyDescent="0.25">
      <c r="D75" s="64">
        <v>748.96</v>
      </c>
    </row>
    <row r="76" spans="1:12" x14ac:dyDescent="0.25">
      <c r="A76" t="s">
        <v>59</v>
      </c>
      <c r="D76" s="32">
        <v>30</v>
      </c>
    </row>
    <row r="77" spans="1:12" x14ac:dyDescent="0.25">
      <c r="D77" s="32">
        <v>120</v>
      </c>
    </row>
    <row r="78" spans="1:12" x14ac:dyDescent="0.25">
      <c r="D78" s="32">
        <v>60</v>
      </c>
    </row>
    <row r="79" spans="1:12" x14ac:dyDescent="0.25">
      <c r="D79" s="32">
        <v>30</v>
      </c>
    </row>
    <row r="80" spans="1:12" x14ac:dyDescent="0.25">
      <c r="D80" s="32">
        <v>100</v>
      </c>
    </row>
    <row r="81" spans="2:4" x14ac:dyDescent="0.25">
      <c r="D81" s="32">
        <v>200</v>
      </c>
    </row>
    <row r="82" spans="2:4" x14ac:dyDescent="0.25">
      <c r="D82" s="32">
        <v>110</v>
      </c>
    </row>
    <row r="83" spans="2:4" x14ac:dyDescent="0.25">
      <c r="D83" s="32">
        <v>200</v>
      </c>
    </row>
    <row r="84" spans="2:4" x14ac:dyDescent="0.25">
      <c r="D84" s="32">
        <v>60</v>
      </c>
    </row>
    <row r="85" spans="2:4" x14ac:dyDescent="0.25">
      <c r="D85" s="32">
        <v>53.33</v>
      </c>
    </row>
    <row r="86" spans="2:4" x14ac:dyDescent="0.25">
      <c r="B86" s="23" t="s">
        <v>60</v>
      </c>
      <c r="D86" s="32">
        <v>80</v>
      </c>
    </row>
    <row r="87" spans="2:4" x14ac:dyDescent="0.25">
      <c r="B87" s="23" t="s">
        <v>61</v>
      </c>
      <c r="D87" s="64">
        <v>354.32</v>
      </c>
    </row>
    <row r="88" spans="2:4" x14ac:dyDescent="0.25">
      <c r="B88" s="23" t="s">
        <v>62</v>
      </c>
      <c r="D88" s="32">
        <v>140</v>
      </c>
    </row>
    <row r="89" spans="2:4" x14ac:dyDescent="0.25">
      <c r="B89" s="23" t="s">
        <v>63</v>
      </c>
      <c r="D89" s="32">
        <v>140</v>
      </c>
    </row>
    <row r="90" spans="2:4" x14ac:dyDescent="0.25">
      <c r="B90" s="23" t="s">
        <v>64</v>
      </c>
      <c r="D90" s="32">
        <v>10</v>
      </c>
    </row>
    <row r="91" spans="2:4" x14ac:dyDescent="0.25">
      <c r="B91" s="23" t="s">
        <v>65</v>
      </c>
      <c r="D91" s="64">
        <v>1133.47</v>
      </c>
    </row>
    <row r="92" spans="2:4" x14ac:dyDescent="0.25">
      <c r="B92" s="23" t="s">
        <v>66</v>
      </c>
      <c r="D92" s="32">
        <v>165</v>
      </c>
    </row>
    <row r="93" spans="2:4" x14ac:dyDescent="0.25">
      <c r="B93" s="23" t="s">
        <v>67</v>
      </c>
      <c r="D93" s="32">
        <v>60</v>
      </c>
    </row>
    <row r="94" spans="2:4" x14ac:dyDescent="0.25">
      <c r="B94" s="23" t="s">
        <v>68</v>
      </c>
      <c r="D94" s="32">
        <v>50</v>
      </c>
    </row>
    <row r="95" spans="2:4" x14ac:dyDescent="0.25">
      <c r="B95" s="23" t="s">
        <v>69</v>
      </c>
      <c r="D95" s="32">
        <v>200</v>
      </c>
    </row>
    <row r="96" spans="2:4" x14ac:dyDescent="0.25">
      <c r="D96" s="32">
        <v>60</v>
      </c>
    </row>
    <row r="97" spans="3:5" x14ac:dyDescent="0.25">
      <c r="D97" s="32">
        <v>559.92999999999995</v>
      </c>
    </row>
    <row r="98" spans="3:5" x14ac:dyDescent="0.25">
      <c r="D98" s="32">
        <v>155</v>
      </c>
    </row>
    <row r="99" spans="3:5" x14ac:dyDescent="0.25">
      <c r="D99" s="32">
        <v>90</v>
      </c>
    </row>
    <row r="100" spans="3:5" x14ac:dyDescent="0.25">
      <c r="D100" s="32">
        <v>140</v>
      </c>
    </row>
    <row r="101" spans="3:5" x14ac:dyDescent="0.25">
      <c r="D101" s="32">
        <v>100</v>
      </c>
    </row>
    <row r="102" spans="3:5" x14ac:dyDescent="0.25">
      <c r="D102" s="64">
        <v>1078.6400000000001</v>
      </c>
    </row>
    <row r="103" spans="3:5" x14ac:dyDescent="0.25">
      <c r="D103" s="32">
        <v>50</v>
      </c>
    </row>
    <row r="104" spans="3:5" x14ac:dyDescent="0.25">
      <c r="D104" s="32">
        <v>75.5</v>
      </c>
    </row>
    <row r="105" spans="3:5" x14ac:dyDescent="0.25">
      <c r="D105" s="32">
        <v>120</v>
      </c>
    </row>
    <row r="106" spans="3:5" x14ac:dyDescent="0.25">
      <c r="D106" s="64">
        <v>509</v>
      </c>
    </row>
    <row r="111" spans="3:5" x14ac:dyDescent="0.25">
      <c r="C111" t="s">
        <v>292</v>
      </c>
      <c r="D111" t="s">
        <v>446</v>
      </c>
      <c r="E111" t="s">
        <v>448</v>
      </c>
    </row>
    <row r="112" spans="3:5" x14ac:dyDescent="0.25">
      <c r="C112" t="s">
        <v>293</v>
      </c>
      <c r="D112" s="34">
        <v>7500</v>
      </c>
      <c r="E112" s="34">
        <f>D112*2+8250+9000+9000*0.06*2</f>
        <v>33330</v>
      </c>
    </row>
    <row r="113" spans="3:12" x14ac:dyDescent="0.25">
      <c r="C113" t="s">
        <v>294</v>
      </c>
      <c r="D113" s="34">
        <f>1159.99*2+6853.2*2</f>
        <v>16026.38</v>
      </c>
      <c r="E113" t="s">
        <v>449</v>
      </c>
    </row>
    <row r="114" spans="3:12" x14ac:dyDescent="0.25">
      <c r="C114" t="s">
        <v>295</v>
      </c>
      <c r="D114" s="30">
        <f>D113</f>
        <v>16026.38</v>
      </c>
      <c r="E114" s="34">
        <f>E112+17000</f>
        <v>50330</v>
      </c>
      <c r="F114" t="s">
        <v>450</v>
      </c>
    </row>
    <row r="115" spans="3:12" x14ac:dyDescent="0.25">
      <c r="C115" s="30" t="s">
        <v>447</v>
      </c>
      <c r="D115" s="34">
        <f>D114*2</f>
        <v>32052.76</v>
      </c>
      <c r="E115" s="35" t="s">
        <v>451</v>
      </c>
    </row>
    <row r="116" spans="3:12" x14ac:dyDescent="0.25">
      <c r="D116" s="35"/>
      <c r="E116" s="35" t="s">
        <v>627</v>
      </c>
    </row>
    <row r="117" spans="3:12" x14ac:dyDescent="0.25">
      <c r="D117" s="35"/>
      <c r="E117" t="s">
        <v>452</v>
      </c>
    </row>
    <row r="121" spans="3:12" x14ac:dyDescent="0.25">
      <c r="C121" s="20" t="s">
        <v>465</v>
      </c>
    </row>
    <row r="122" spans="3:12" x14ac:dyDescent="0.25">
      <c r="C122" s="20" t="s">
        <v>469</v>
      </c>
      <c r="D122" s="28" t="s">
        <v>467</v>
      </c>
      <c r="E122" t="s">
        <v>472</v>
      </c>
      <c r="F122" t="s">
        <v>474</v>
      </c>
      <c r="G122" t="s">
        <v>478</v>
      </c>
      <c r="H122" t="s">
        <v>479</v>
      </c>
      <c r="I122" t="s">
        <v>481</v>
      </c>
      <c r="J122" t="s">
        <v>483</v>
      </c>
      <c r="K122" t="s">
        <v>485</v>
      </c>
      <c r="L122" t="s">
        <v>622</v>
      </c>
    </row>
    <row r="123" spans="3:12" x14ac:dyDescent="0.25">
      <c r="C123" s="20" t="s">
        <v>468</v>
      </c>
      <c r="D123" s="28">
        <v>70</v>
      </c>
      <c r="E123">
        <v>86</v>
      </c>
      <c r="F123">
        <v>64</v>
      </c>
      <c r="G123">
        <v>77</v>
      </c>
      <c r="H123">
        <v>79</v>
      </c>
      <c r="I123">
        <v>82</v>
      </c>
      <c r="J123" t="s">
        <v>336</v>
      </c>
      <c r="K123">
        <v>64</v>
      </c>
      <c r="L123">
        <v>77</v>
      </c>
    </row>
    <row r="124" spans="3:12" x14ac:dyDescent="0.25">
      <c r="C124" s="20" t="s">
        <v>463</v>
      </c>
      <c r="D124" s="28" t="s">
        <v>466</v>
      </c>
      <c r="E124" t="s">
        <v>473</v>
      </c>
      <c r="F124" t="s">
        <v>466</v>
      </c>
      <c r="G124" t="s">
        <v>477</v>
      </c>
      <c r="H124" t="s">
        <v>466</v>
      </c>
      <c r="I124" t="s">
        <v>466</v>
      </c>
      <c r="J124" t="s">
        <v>484</v>
      </c>
      <c r="K124" t="s">
        <v>466</v>
      </c>
      <c r="L124" t="s">
        <v>623</v>
      </c>
    </row>
    <row r="125" spans="3:12" x14ac:dyDescent="0.25">
      <c r="C125" s="20" t="s">
        <v>464</v>
      </c>
      <c r="D125" s="67">
        <v>0.34722222222222221</v>
      </c>
      <c r="E125">
        <v>1108</v>
      </c>
      <c r="F125" s="69">
        <v>0.38680555555555557</v>
      </c>
      <c r="G125" s="69">
        <v>0.47430555555555554</v>
      </c>
      <c r="H125" s="69">
        <v>0.42430555555555555</v>
      </c>
      <c r="I125" s="69">
        <v>0.42916666666666664</v>
      </c>
      <c r="J125" s="69">
        <v>0.45833333333333331</v>
      </c>
      <c r="K125" s="69">
        <v>0.39305555555555555</v>
      </c>
      <c r="L125" s="69">
        <v>0.46875</v>
      </c>
    </row>
    <row r="126" spans="3:12" x14ac:dyDescent="0.25">
      <c r="C126" s="20" t="s">
        <v>8</v>
      </c>
      <c r="D126" s="68">
        <v>45929</v>
      </c>
      <c r="E126" s="68">
        <v>45929</v>
      </c>
      <c r="F126" s="70">
        <v>45930</v>
      </c>
      <c r="G126" s="70">
        <v>45930</v>
      </c>
      <c r="H126" s="70">
        <v>45931</v>
      </c>
      <c r="I126" s="70">
        <v>45932</v>
      </c>
      <c r="J126" s="70">
        <v>45934</v>
      </c>
      <c r="K126" s="70">
        <v>45935</v>
      </c>
      <c r="L126" s="70">
        <v>46023</v>
      </c>
    </row>
  </sheetData>
  <hyperlinks>
    <hyperlink ref="B86" r:id="rId1" display="https://www.loom.com/share/07337fb6435246778e6813797356376f?sid=5e1795d2-2a16-46cc-8597-fa923333333d" xr:uid="{CB551466-68EA-42CE-91E3-93198C73B06A}"/>
    <hyperlink ref="B87" r:id="rId2" display="https://www.loom.com/share/9aa99f1313204478b5aa0106208fd7b8?sid=b5fee0fe-db2f-4c23-976d-28eb8581b580" xr:uid="{716EFFEF-0C1A-4DC9-AB39-4154360860F0}"/>
    <hyperlink ref="B88" r:id="rId3" display="https://www.loom.com/share/3b4fb64994e64197aaf18c9222d01d35?sid=0440c1d5-be85-4dc2-ab00-23bc238cc880" xr:uid="{C6ACBA58-72EC-417C-8827-79AD27C73025}"/>
    <hyperlink ref="B89" r:id="rId4" display="https://www.loom.com/share/bf452c09626441b8a47e78c921abc998?sid=17df3a8a-7824-4302-bc10-b83bfd3374e7" xr:uid="{0C65AE7F-9089-4702-8728-8DA7DE92864C}"/>
    <hyperlink ref="B90" r:id="rId5" display="https://www.loom.com/share/27f63ad1e43b4515ae04ff2e31923df1?sid=32351428-e31b-4c32-8239-605c4bdc7067" xr:uid="{E9D2C283-4D07-440B-AD9D-AF8DC65D570A}"/>
    <hyperlink ref="B91" r:id="rId6" display="https://www.loom.com/share/5bcfbf7dfcc4431793fcbe51092273f9" xr:uid="{7FE1E1D9-4041-4C99-BD67-0305BF4FEBCD}"/>
    <hyperlink ref="B92" r:id="rId7" display="https://www.loom.com/share/f46bc0daeff145858a93594b5f23a678" xr:uid="{2FF5AFFD-8C05-4DAA-BA26-E06F1F70DA35}"/>
    <hyperlink ref="B93" r:id="rId8" display="https://www.loom.com/share/a77986333f00403d9e1e2615117b13e1" xr:uid="{803A8500-8CEB-40F3-8EDE-F964980313C9}"/>
    <hyperlink ref="B94" r:id="rId9" display="https://www.loom.com/share/4b3044d8f351448bbcbb0867d5fd1083" xr:uid="{88DAB65C-998A-43F1-91F6-B5248C8CE00E}"/>
    <hyperlink ref="B95" r:id="rId10" display="https://www.loom.com/share/5afd09107e894ba29b488889b12bebe2" xr:uid="{60DF325B-441D-4809-A562-3324C24B6F00}"/>
  </hyperlinks>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CB2E-5189-4EC5-85E2-DEE6600E0BBB}">
  <dimension ref="A1:C2"/>
  <sheetViews>
    <sheetView workbookViewId="0">
      <selection activeCell="D18" sqref="D18"/>
    </sheetView>
  </sheetViews>
  <sheetFormatPr defaultRowHeight="15" x14ac:dyDescent="0.25"/>
  <sheetData>
    <row r="1" spans="1:3" x14ac:dyDescent="0.25">
      <c r="B1" t="s">
        <v>418</v>
      </c>
      <c r="C1" t="s">
        <v>171</v>
      </c>
    </row>
    <row r="2" spans="1:3" x14ac:dyDescent="0.25">
      <c r="A2" t="s">
        <v>417</v>
      </c>
      <c r="B2">
        <v>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67E4-CC05-49ED-AEDC-94F7441CF407}">
  <dimension ref="A1:S28"/>
  <sheetViews>
    <sheetView topLeftCell="A4" workbookViewId="0">
      <selection activeCell="E5" sqref="E5"/>
    </sheetView>
  </sheetViews>
  <sheetFormatPr defaultRowHeight="15" x14ac:dyDescent="0.25"/>
  <cols>
    <col min="3" max="3" width="12" bestFit="1" customWidth="1"/>
    <col min="7" max="7" width="11" customWidth="1"/>
  </cols>
  <sheetData>
    <row r="1" spans="1:19" x14ac:dyDescent="0.25">
      <c r="A1" t="s">
        <v>591</v>
      </c>
      <c r="B1" t="s">
        <v>592</v>
      </c>
      <c r="C1" s="20" t="s">
        <v>694</v>
      </c>
      <c r="D1" s="20">
        <f>SUM(L7:L9,L11,L16:L17,L19,L21:L26)</f>
        <v>5476.25</v>
      </c>
    </row>
    <row r="2" spans="1:19" x14ac:dyDescent="0.25">
      <c r="C2" t="s">
        <v>594</v>
      </c>
      <c r="D2" t="s">
        <v>596</v>
      </c>
      <c r="E2" t="s">
        <v>598</v>
      </c>
      <c r="F2" t="s">
        <v>595</v>
      </c>
      <c r="G2" t="s">
        <v>621</v>
      </c>
      <c r="H2" t="s">
        <v>599</v>
      </c>
      <c r="I2" t="s">
        <v>600</v>
      </c>
      <c r="J2" t="s">
        <v>601</v>
      </c>
      <c r="K2" t="s">
        <v>602</v>
      </c>
      <c r="L2" t="s">
        <v>603</v>
      </c>
      <c r="M2" t="s">
        <v>604</v>
      </c>
      <c r="N2" t="s">
        <v>605</v>
      </c>
    </row>
    <row r="3" spans="1:19" x14ac:dyDescent="0.25">
      <c r="B3" t="s">
        <v>593</v>
      </c>
      <c r="C3" s="20" t="s">
        <v>694</v>
      </c>
      <c r="D3" s="20">
        <v>-147.19999999999999</v>
      </c>
    </row>
    <row r="4" spans="1:19" x14ac:dyDescent="0.25">
      <c r="C4" t="s">
        <v>597</v>
      </c>
    </row>
    <row r="5" spans="1:19" x14ac:dyDescent="0.25">
      <c r="C5" s="20" t="s">
        <v>692</v>
      </c>
      <c r="D5" s="58">
        <f>L20+L10</f>
        <v>1607.35</v>
      </c>
    </row>
    <row r="6" spans="1:19" x14ac:dyDescent="0.25">
      <c r="B6" t="s">
        <v>628</v>
      </c>
      <c r="C6" t="s">
        <v>629</v>
      </c>
      <c r="D6" t="s">
        <v>630</v>
      </c>
      <c r="E6" t="s">
        <v>631</v>
      </c>
      <c r="F6" t="s">
        <v>632</v>
      </c>
      <c r="G6" t="s">
        <v>633</v>
      </c>
      <c r="H6" t="s">
        <v>634</v>
      </c>
      <c r="I6" t="s">
        <v>635</v>
      </c>
      <c r="J6" t="s">
        <v>636</v>
      </c>
      <c r="K6" t="s">
        <v>637</v>
      </c>
      <c r="L6" t="s">
        <v>638</v>
      </c>
      <c r="M6" t="s">
        <v>639</v>
      </c>
      <c r="N6" t="s">
        <v>640</v>
      </c>
      <c r="O6" t="s">
        <v>641</v>
      </c>
      <c r="P6" t="s">
        <v>642</v>
      </c>
      <c r="Q6" t="s">
        <v>643</v>
      </c>
      <c r="R6" t="s">
        <v>644</v>
      </c>
      <c r="S6" t="s">
        <v>645</v>
      </c>
    </row>
    <row r="7" spans="1:19" x14ac:dyDescent="0.25">
      <c r="B7" t="s">
        <v>598</v>
      </c>
      <c r="C7">
        <v>35</v>
      </c>
      <c r="D7">
        <v>10.84</v>
      </c>
      <c r="E7">
        <v>-0.45</v>
      </c>
      <c r="F7">
        <v>-3.99</v>
      </c>
      <c r="G7" s="2">
        <v>2108354</v>
      </c>
      <c r="H7">
        <v>-15.75</v>
      </c>
      <c r="I7">
        <v>-3.99</v>
      </c>
      <c r="J7">
        <v>100.15</v>
      </c>
      <c r="K7">
        <v>35.86</v>
      </c>
      <c r="L7">
        <v>379.4</v>
      </c>
      <c r="M7">
        <v>20.09</v>
      </c>
      <c r="N7">
        <v>279.25</v>
      </c>
      <c r="O7" t="s">
        <v>646</v>
      </c>
      <c r="P7" t="s">
        <v>647</v>
      </c>
      <c r="Q7" t="s">
        <v>648</v>
      </c>
      <c r="R7">
        <v>0</v>
      </c>
      <c r="S7" t="s">
        <v>649</v>
      </c>
    </row>
    <row r="8" spans="1:19" x14ac:dyDescent="0.25">
      <c r="B8" t="s">
        <v>602</v>
      </c>
      <c r="C8">
        <v>10</v>
      </c>
      <c r="D8">
        <v>23.39</v>
      </c>
      <c r="E8">
        <v>-0.54</v>
      </c>
      <c r="F8">
        <v>-2.2599999999999998</v>
      </c>
      <c r="G8" s="2">
        <v>936121</v>
      </c>
      <c r="H8">
        <v>-5.4</v>
      </c>
      <c r="I8">
        <v>-2.2599999999999998</v>
      </c>
      <c r="J8">
        <v>-57.24</v>
      </c>
      <c r="K8">
        <v>-19.670000000000002</v>
      </c>
      <c r="L8">
        <v>233.9</v>
      </c>
      <c r="M8">
        <v>12.39</v>
      </c>
      <c r="N8">
        <v>291.14</v>
      </c>
      <c r="O8" t="s">
        <v>650</v>
      </c>
      <c r="P8" t="s">
        <v>651</v>
      </c>
      <c r="Q8" t="s">
        <v>652</v>
      </c>
      <c r="R8">
        <v>0</v>
      </c>
      <c r="S8" t="s">
        <v>649</v>
      </c>
    </row>
    <row r="9" spans="1:19" x14ac:dyDescent="0.25">
      <c r="B9" t="s">
        <v>600</v>
      </c>
      <c r="C9">
        <v>1</v>
      </c>
      <c r="D9">
        <v>650.41</v>
      </c>
      <c r="E9">
        <v>-9.68</v>
      </c>
      <c r="F9">
        <v>-1.47</v>
      </c>
      <c r="G9" s="2">
        <v>13726517</v>
      </c>
      <c r="H9">
        <v>-9.68</v>
      </c>
      <c r="I9">
        <v>-1.47</v>
      </c>
      <c r="J9">
        <v>-15.93</v>
      </c>
      <c r="K9">
        <v>-2.39</v>
      </c>
      <c r="L9">
        <v>650.41</v>
      </c>
      <c r="M9">
        <v>34.44</v>
      </c>
      <c r="N9">
        <v>666.33</v>
      </c>
      <c r="O9" t="s">
        <v>653</v>
      </c>
      <c r="P9" t="s">
        <v>654</v>
      </c>
      <c r="Q9" t="s">
        <v>655</v>
      </c>
      <c r="R9">
        <v>0.52500000000000002</v>
      </c>
      <c r="S9" t="s">
        <v>656</v>
      </c>
    </row>
    <row r="10" spans="1:19" x14ac:dyDescent="0.25">
      <c r="B10" t="s">
        <v>657</v>
      </c>
      <c r="C10">
        <v>533.87</v>
      </c>
      <c r="D10">
        <v>1</v>
      </c>
      <c r="E10">
        <v>0</v>
      </c>
      <c r="F10">
        <v>0</v>
      </c>
      <c r="G10">
        <v>0</v>
      </c>
      <c r="H10" t="s">
        <v>649</v>
      </c>
      <c r="I10" t="s">
        <v>649</v>
      </c>
      <c r="J10" t="s">
        <v>649</v>
      </c>
      <c r="K10" t="s">
        <v>649</v>
      </c>
      <c r="L10">
        <v>533.87</v>
      </c>
      <c r="M10">
        <v>28.27</v>
      </c>
      <c r="N10" t="s">
        <v>649</v>
      </c>
      <c r="O10" t="s">
        <v>658</v>
      </c>
      <c r="P10" t="s">
        <v>659</v>
      </c>
      <c r="Q10" t="s">
        <v>649</v>
      </c>
      <c r="R10">
        <v>3.2000000000000002E-3</v>
      </c>
      <c r="S10" t="s">
        <v>660</v>
      </c>
    </row>
    <row r="11" spans="1:19" x14ac:dyDescent="0.25">
      <c r="B11" t="s">
        <v>603</v>
      </c>
      <c r="C11">
        <v>1</v>
      </c>
      <c r="D11">
        <v>90.7</v>
      </c>
      <c r="E11">
        <v>3.59</v>
      </c>
      <c r="F11">
        <v>4.12</v>
      </c>
      <c r="G11" s="2">
        <v>25005</v>
      </c>
      <c r="H11">
        <v>3.59</v>
      </c>
      <c r="I11">
        <v>4.12</v>
      </c>
      <c r="J11">
        <v>-9.3000000000000007</v>
      </c>
      <c r="K11">
        <v>-9.3000000000000007</v>
      </c>
      <c r="L11">
        <v>90.7</v>
      </c>
      <c r="M11">
        <v>4.8</v>
      </c>
      <c r="N11">
        <v>100</v>
      </c>
      <c r="O11" t="s">
        <v>661</v>
      </c>
      <c r="P11" t="s">
        <v>662</v>
      </c>
      <c r="Q11" t="s">
        <v>663</v>
      </c>
      <c r="R11">
        <v>0</v>
      </c>
      <c r="S11" t="s">
        <v>649</v>
      </c>
    </row>
    <row r="12" spans="1:19" x14ac:dyDescent="0.25">
      <c r="J12" s="20" t="s">
        <v>695</v>
      </c>
      <c r="L12" s="20">
        <f>SUM(L7:L9)+90.7</f>
        <v>1354.41</v>
      </c>
    </row>
    <row r="14" spans="1:19" x14ac:dyDescent="0.25">
      <c r="F14" t="s">
        <v>693</v>
      </c>
    </row>
    <row r="15" spans="1:19" x14ac:dyDescent="0.25">
      <c r="B15" t="s">
        <v>628</v>
      </c>
      <c r="C15" t="s">
        <v>629</v>
      </c>
      <c r="D15" t="s">
        <v>630</v>
      </c>
      <c r="E15" t="s">
        <v>631</v>
      </c>
      <c r="F15" t="s">
        <v>632</v>
      </c>
      <c r="G15" t="s">
        <v>633</v>
      </c>
      <c r="H15" t="s">
        <v>634</v>
      </c>
      <c r="I15" t="s">
        <v>635</v>
      </c>
      <c r="J15" t="s">
        <v>636</v>
      </c>
      <c r="K15" t="s">
        <v>637</v>
      </c>
      <c r="L15" t="s">
        <v>638</v>
      </c>
      <c r="M15" t="s">
        <v>639</v>
      </c>
      <c r="N15" t="s">
        <v>640</v>
      </c>
      <c r="O15" t="s">
        <v>641</v>
      </c>
      <c r="P15" t="s">
        <v>642</v>
      </c>
      <c r="Q15" t="s">
        <v>643</v>
      </c>
      <c r="R15" t="s">
        <v>644</v>
      </c>
      <c r="S15" t="s">
        <v>645</v>
      </c>
    </row>
    <row r="16" spans="1:19" x14ac:dyDescent="0.25">
      <c r="B16" t="s">
        <v>594</v>
      </c>
      <c r="C16">
        <v>4</v>
      </c>
      <c r="D16">
        <v>133.77000000000001</v>
      </c>
      <c r="E16">
        <v>-1.085</v>
      </c>
      <c r="F16">
        <v>-0.8</v>
      </c>
      <c r="G16" s="2">
        <v>978145</v>
      </c>
      <c r="H16">
        <v>-4.34</v>
      </c>
      <c r="I16">
        <v>-0.81</v>
      </c>
      <c r="J16">
        <v>256.27999999999997</v>
      </c>
      <c r="K16">
        <v>91.92</v>
      </c>
      <c r="L16">
        <v>535.08000000000004</v>
      </c>
      <c r="M16">
        <v>10.31</v>
      </c>
      <c r="N16">
        <v>278.8</v>
      </c>
      <c r="O16" t="s">
        <v>664</v>
      </c>
      <c r="P16" t="s">
        <v>665</v>
      </c>
      <c r="Q16" t="s">
        <v>666</v>
      </c>
      <c r="R16">
        <v>0</v>
      </c>
      <c r="S16" t="s">
        <v>649</v>
      </c>
    </row>
    <row r="17" spans="2:19" x14ac:dyDescent="0.25">
      <c r="B17" t="s">
        <v>596</v>
      </c>
      <c r="C17">
        <v>3</v>
      </c>
      <c r="D17">
        <v>226.5</v>
      </c>
      <c r="E17">
        <v>-4.32</v>
      </c>
      <c r="F17">
        <v>-1.87</v>
      </c>
      <c r="G17" s="2">
        <v>51456229</v>
      </c>
      <c r="H17">
        <v>-12.96</v>
      </c>
      <c r="I17">
        <v>-1.88</v>
      </c>
      <c r="J17">
        <v>-0.53</v>
      </c>
      <c r="K17">
        <v>-0.08</v>
      </c>
      <c r="L17">
        <v>679.5</v>
      </c>
      <c r="M17">
        <v>13.09</v>
      </c>
      <c r="N17">
        <v>680.03</v>
      </c>
      <c r="O17" t="s">
        <v>667</v>
      </c>
      <c r="P17" t="s">
        <v>668</v>
      </c>
      <c r="Q17" t="s">
        <v>669</v>
      </c>
      <c r="R17">
        <v>0</v>
      </c>
      <c r="S17" t="s">
        <v>649</v>
      </c>
    </row>
    <row r="18" spans="2:19" x14ac:dyDescent="0.25">
      <c r="B18" t="s">
        <v>597</v>
      </c>
      <c r="C18">
        <v>-40</v>
      </c>
      <c r="D18">
        <v>3.68</v>
      </c>
      <c r="E18">
        <v>0.12</v>
      </c>
      <c r="F18">
        <v>3.37</v>
      </c>
      <c r="G18" s="2">
        <v>1554116</v>
      </c>
      <c r="H18">
        <v>-4.8</v>
      </c>
      <c r="I18">
        <v>-3.38</v>
      </c>
      <c r="J18">
        <v>120.88</v>
      </c>
      <c r="K18">
        <v>45.09</v>
      </c>
      <c r="L18">
        <v>-147.19999999999999</v>
      </c>
      <c r="M18">
        <v>-2.84</v>
      </c>
      <c r="N18">
        <v>268.08</v>
      </c>
      <c r="O18" t="s">
        <v>670</v>
      </c>
      <c r="P18" t="s">
        <v>671</v>
      </c>
      <c r="Q18" t="s">
        <v>672</v>
      </c>
      <c r="R18">
        <v>0</v>
      </c>
      <c r="S18" t="s">
        <v>649</v>
      </c>
    </row>
    <row r="19" spans="2:19" x14ac:dyDescent="0.25">
      <c r="B19" t="s">
        <v>621</v>
      </c>
      <c r="C19">
        <v>42</v>
      </c>
      <c r="D19">
        <v>7.32</v>
      </c>
      <c r="E19">
        <v>-0.38</v>
      </c>
      <c r="F19">
        <v>-4.9400000000000004</v>
      </c>
      <c r="G19" s="2">
        <v>1330376</v>
      </c>
      <c r="H19">
        <v>-15.96</v>
      </c>
      <c r="I19">
        <v>-4.9400000000000004</v>
      </c>
      <c r="J19">
        <v>-8.51</v>
      </c>
      <c r="K19">
        <v>-2.7</v>
      </c>
      <c r="L19">
        <v>307.44</v>
      </c>
      <c r="M19">
        <v>5.92</v>
      </c>
      <c r="N19">
        <v>315.95</v>
      </c>
      <c r="O19" t="s">
        <v>673</v>
      </c>
      <c r="P19" t="s">
        <v>674</v>
      </c>
      <c r="Q19" t="s">
        <v>675</v>
      </c>
      <c r="R19">
        <v>0</v>
      </c>
      <c r="S19" t="s">
        <v>649</v>
      </c>
    </row>
    <row r="20" spans="2:19" x14ac:dyDescent="0.25">
      <c r="B20" t="s">
        <v>657</v>
      </c>
      <c r="C20" s="1">
        <v>1073.48</v>
      </c>
      <c r="D20">
        <v>1</v>
      </c>
      <c r="E20">
        <v>0</v>
      </c>
      <c r="F20">
        <v>0</v>
      </c>
      <c r="G20">
        <v>0</v>
      </c>
      <c r="H20" t="s">
        <v>649</v>
      </c>
      <c r="I20" t="s">
        <v>649</v>
      </c>
      <c r="J20" t="s">
        <v>649</v>
      </c>
      <c r="K20" t="s">
        <v>649</v>
      </c>
      <c r="L20" s="1">
        <v>1073.48</v>
      </c>
      <c r="M20">
        <v>20.68</v>
      </c>
      <c r="N20" t="s">
        <v>649</v>
      </c>
      <c r="O20" t="s">
        <v>658</v>
      </c>
      <c r="P20" t="s">
        <v>659</v>
      </c>
      <c r="Q20" t="s">
        <v>649</v>
      </c>
      <c r="R20">
        <v>3.2000000000000002E-3</v>
      </c>
      <c r="S20" t="s">
        <v>660</v>
      </c>
    </row>
    <row r="21" spans="2:19" x14ac:dyDescent="0.25">
      <c r="B21" t="s">
        <v>676</v>
      </c>
      <c r="C21">
        <v>65</v>
      </c>
      <c r="D21">
        <v>4.9429999999999996</v>
      </c>
      <c r="E21">
        <v>0.27500000000000002</v>
      </c>
      <c r="F21">
        <v>5.89</v>
      </c>
      <c r="G21" s="2">
        <v>1189948</v>
      </c>
      <c r="H21">
        <v>17.87</v>
      </c>
      <c r="I21">
        <v>5.89</v>
      </c>
      <c r="J21">
        <v>76.73</v>
      </c>
      <c r="K21">
        <v>31.37</v>
      </c>
      <c r="L21">
        <v>321.29000000000002</v>
      </c>
      <c r="M21">
        <v>6.19</v>
      </c>
      <c r="N21">
        <v>244.56</v>
      </c>
      <c r="O21" t="s">
        <v>677</v>
      </c>
      <c r="P21" t="s">
        <v>678</v>
      </c>
      <c r="Q21" t="s">
        <v>649</v>
      </c>
      <c r="R21">
        <v>0</v>
      </c>
      <c r="S21" t="s">
        <v>649</v>
      </c>
    </row>
    <row r="22" spans="2:19" x14ac:dyDescent="0.25">
      <c r="B22" t="s">
        <v>601</v>
      </c>
      <c r="C22">
        <v>2.2000000000000002</v>
      </c>
      <c r="D22">
        <v>188.85</v>
      </c>
      <c r="E22">
        <v>2.35</v>
      </c>
      <c r="F22">
        <v>1.26</v>
      </c>
      <c r="G22" s="2">
        <v>148240462</v>
      </c>
      <c r="H22">
        <v>5.17</v>
      </c>
      <c r="I22">
        <v>1.26</v>
      </c>
      <c r="J22">
        <v>14.8</v>
      </c>
      <c r="K22">
        <v>3.69</v>
      </c>
      <c r="L22">
        <v>415.47</v>
      </c>
      <c r="M22">
        <v>8</v>
      </c>
      <c r="N22">
        <v>400.67</v>
      </c>
      <c r="O22" t="s">
        <v>679</v>
      </c>
      <c r="P22" t="s">
        <v>680</v>
      </c>
      <c r="Q22" t="s">
        <v>681</v>
      </c>
      <c r="R22">
        <v>0.01</v>
      </c>
      <c r="S22" t="s">
        <v>682</v>
      </c>
    </row>
    <row r="23" spans="2:19" x14ac:dyDescent="0.25">
      <c r="B23" t="s">
        <v>595</v>
      </c>
      <c r="C23">
        <v>3</v>
      </c>
      <c r="D23">
        <v>253.62</v>
      </c>
      <c r="E23">
        <v>-11.29</v>
      </c>
      <c r="F23">
        <v>-4.26</v>
      </c>
      <c r="G23" s="2">
        <v>9680584</v>
      </c>
      <c r="H23">
        <v>-33.869999999999997</v>
      </c>
      <c r="I23">
        <v>-4.2699999999999996</v>
      </c>
      <c r="J23">
        <v>41.59</v>
      </c>
      <c r="K23">
        <v>5.78</v>
      </c>
      <c r="L23">
        <v>760.86</v>
      </c>
      <c r="M23">
        <v>14.66</v>
      </c>
      <c r="N23">
        <v>719.27</v>
      </c>
      <c r="O23" t="s">
        <v>683</v>
      </c>
      <c r="P23" t="s">
        <v>684</v>
      </c>
      <c r="Q23" t="s">
        <v>681</v>
      </c>
      <c r="R23">
        <v>0.41599999999999998</v>
      </c>
      <c r="S23" t="s">
        <v>685</v>
      </c>
    </row>
    <row r="24" spans="2:19" x14ac:dyDescent="0.25">
      <c r="B24" t="s">
        <v>603</v>
      </c>
      <c r="C24">
        <v>8</v>
      </c>
      <c r="D24">
        <v>90.7</v>
      </c>
      <c r="E24">
        <v>3.59</v>
      </c>
      <c r="F24">
        <v>4.12</v>
      </c>
      <c r="G24" s="2">
        <v>25005</v>
      </c>
      <c r="H24">
        <v>28.72</v>
      </c>
      <c r="I24">
        <v>4.12</v>
      </c>
      <c r="J24">
        <v>-90.72</v>
      </c>
      <c r="K24">
        <v>-11.12</v>
      </c>
      <c r="L24">
        <v>725.6</v>
      </c>
      <c r="M24">
        <v>13.98</v>
      </c>
      <c r="N24">
        <v>816.32</v>
      </c>
      <c r="O24" t="s">
        <v>661</v>
      </c>
      <c r="P24" t="s">
        <v>662</v>
      </c>
      <c r="Q24" t="s">
        <v>663</v>
      </c>
      <c r="R24">
        <v>0</v>
      </c>
      <c r="S24" t="s">
        <v>649</v>
      </c>
    </row>
    <row r="25" spans="2:19" x14ac:dyDescent="0.25">
      <c r="B25" t="s">
        <v>604</v>
      </c>
      <c r="C25">
        <v>30</v>
      </c>
      <c r="D25">
        <v>1.34</v>
      </c>
      <c r="E25">
        <v>0.01</v>
      </c>
      <c r="F25">
        <v>0.75</v>
      </c>
      <c r="G25" s="2">
        <v>277033</v>
      </c>
      <c r="H25">
        <v>0.3</v>
      </c>
      <c r="I25">
        <v>0.75</v>
      </c>
      <c r="J25">
        <v>-33.36</v>
      </c>
      <c r="K25">
        <v>-45.36</v>
      </c>
      <c r="L25">
        <v>40.200000000000003</v>
      </c>
      <c r="M25">
        <v>0.77</v>
      </c>
      <c r="N25">
        <v>73.56</v>
      </c>
      <c r="O25" t="s">
        <v>686</v>
      </c>
      <c r="P25" t="s">
        <v>687</v>
      </c>
      <c r="Q25" t="s">
        <v>688</v>
      </c>
      <c r="R25">
        <v>0</v>
      </c>
      <c r="S25" t="s">
        <v>649</v>
      </c>
    </row>
    <row r="26" spans="2:19" x14ac:dyDescent="0.25">
      <c r="B26" t="s">
        <v>605</v>
      </c>
      <c r="C26">
        <v>1</v>
      </c>
      <c r="D26">
        <v>336.4</v>
      </c>
      <c r="E26">
        <v>6.29</v>
      </c>
      <c r="F26">
        <v>1.91</v>
      </c>
      <c r="G26" s="2">
        <v>6863568</v>
      </c>
      <c r="H26">
        <v>6.29</v>
      </c>
      <c r="I26">
        <v>1.9</v>
      </c>
      <c r="J26">
        <v>47.47</v>
      </c>
      <c r="K26">
        <v>16.420000000000002</v>
      </c>
      <c r="L26">
        <v>336.4</v>
      </c>
      <c r="M26">
        <v>6.48</v>
      </c>
      <c r="N26">
        <v>288.93</v>
      </c>
      <c r="O26" t="s">
        <v>689</v>
      </c>
      <c r="P26" t="s">
        <v>690</v>
      </c>
      <c r="Q26" t="s">
        <v>655</v>
      </c>
      <c r="R26">
        <v>2.21</v>
      </c>
      <c r="S26" t="s">
        <v>691</v>
      </c>
    </row>
    <row r="27" spans="2:19" x14ac:dyDescent="0.25">
      <c r="B27" t="s">
        <v>628</v>
      </c>
      <c r="C27" t="s">
        <v>629</v>
      </c>
      <c r="D27" t="s">
        <v>630</v>
      </c>
      <c r="E27" t="s">
        <v>631</v>
      </c>
      <c r="F27" t="s">
        <v>632</v>
      </c>
      <c r="G27" t="s">
        <v>633</v>
      </c>
      <c r="H27" t="s">
        <v>634</v>
      </c>
      <c r="I27" t="s">
        <v>635</v>
      </c>
      <c r="J27" t="s">
        <v>636</v>
      </c>
      <c r="K27" t="s">
        <v>637</v>
      </c>
      <c r="L27" t="s">
        <v>638</v>
      </c>
      <c r="M27" t="s">
        <v>639</v>
      </c>
      <c r="N27" t="s">
        <v>640</v>
      </c>
      <c r="O27" t="s">
        <v>641</v>
      </c>
      <c r="P27" t="s">
        <v>642</v>
      </c>
      <c r="Q27" t="s">
        <v>643</v>
      </c>
      <c r="R27" t="s">
        <v>644</v>
      </c>
      <c r="S27" t="s">
        <v>645</v>
      </c>
    </row>
    <row r="28" spans="2:19" x14ac:dyDescent="0.25">
      <c r="J28" s="20" t="s">
        <v>695</v>
      </c>
      <c r="L28" s="20">
        <f>SUM(L21:L26)+SUM(L16:L17,L19)-L18</f>
        <v>4269.04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Futures</vt:lpstr>
      <vt:lpstr>Personal</vt:lpstr>
      <vt:lpstr>Taxes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Shebani, Adam K</dc:creator>
  <cp:lastModifiedBy>BurgShot Homie</cp:lastModifiedBy>
  <dcterms:created xsi:type="dcterms:W3CDTF">2024-11-10T21:10:29Z</dcterms:created>
  <dcterms:modified xsi:type="dcterms:W3CDTF">2026-01-08T16:50:54Z</dcterms:modified>
</cp:coreProperties>
</file>