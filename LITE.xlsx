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https://d.docs.live.net/B5A48C2CCD1C7DDF/Documents/"/>
    </mc:Choice>
  </mc:AlternateContent>
  <xr:revisionPtr revIDLastSave="0" documentId="8_{B4C92B9D-8CD5-4655-8B18-05C66E091FFD}" xr6:coauthVersionLast="47" xr6:coauthVersionMax="47" xr10:uidLastSave="{00000000-0000-0000-0000-000000000000}"/>
  <bookViews>
    <workbookView xWindow="7080" yWindow="4410" windowWidth="18045" windowHeight="12225" xr2:uid="{70997503-6DA3-4631-97C9-333FDAAA88D3}"/>
  </bookViews>
  <sheets>
    <sheet name="Main" sheetId="1" r:id="rId1"/>
    <sheet name="Mode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9" i="2" l="1"/>
  <c r="I38" i="2"/>
  <c r="J38" i="2" s="1"/>
  <c r="K38" i="2" s="1"/>
  <c r="L38" i="2" s="1"/>
  <c r="M38" i="2" s="1"/>
  <c r="N38" i="2" s="1"/>
  <c r="O38" i="2" s="1"/>
  <c r="P38" i="2" s="1"/>
  <c r="Q38" i="2" s="1"/>
  <c r="R38" i="2" s="1"/>
  <c r="S38" i="2" s="1"/>
  <c r="T38" i="2" s="1"/>
  <c r="U38" i="2" s="1"/>
  <c r="V38" i="2" s="1"/>
  <c r="W38" i="2" s="1"/>
  <c r="X38" i="2" s="1"/>
  <c r="I36" i="2"/>
  <c r="J36" i="2" s="1"/>
  <c r="K36" i="2" s="1"/>
  <c r="L36" i="2" s="1"/>
  <c r="M36" i="2" s="1"/>
  <c r="N36" i="2" s="1"/>
  <c r="O36" i="2" s="1"/>
  <c r="P36" i="2" s="1"/>
  <c r="Q36" i="2" s="1"/>
  <c r="K37" i="2"/>
  <c r="L37" i="2" s="1"/>
  <c r="M37" i="2" s="1"/>
  <c r="N37" i="2" s="1"/>
  <c r="O37" i="2" s="1"/>
  <c r="P37" i="2" s="1"/>
  <c r="Q37" i="2" s="1"/>
  <c r="R37" i="2" s="1"/>
  <c r="S37" i="2" s="1"/>
  <c r="T37" i="2" s="1"/>
  <c r="U37" i="2" s="1"/>
  <c r="V37" i="2" s="1"/>
  <c r="W37" i="2" s="1"/>
  <c r="J37" i="2"/>
  <c r="F36" i="2"/>
  <c r="E36" i="2"/>
  <c r="C36" i="2"/>
  <c r="D36" i="2"/>
  <c r="C13" i="2"/>
  <c r="D13" i="2"/>
  <c r="D11" i="2"/>
  <c r="C11" i="2"/>
  <c r="C9" i="2"/>
  <c r="D9" i="2"/>
  <c r="C7" i="2"/>
  <c r="D7" i="2"/>
  <c r="E13" i="2"/>
  <c r="E11" i="2"/>
  <c r="E9" i="2"/>
  <c r="E7" i="2"/>
  <c r="F13" i="2"/>
  <c r="F11" i="2"/>
  <c r="F9" i="2"/>
  <c r="F5" i="2"/>
  <c r="F7" i="2"/>
  <c r="G58" i="2"/>
  <c r="G60" i="2" s="1"/>
  <c r="G36" i="2"/>
  <c r="G15" i="2"/>
  <c r="G13" i="2"/>
  <c r="G11" i="2"/>
  <c r="G9" i="2"/>
  <c r="G7" i="2"/>
  <c r="G5" i="2"/>
  <c r="C8" i="1"/>
  <c r="C7" i="1"/>
  <c r="C6" i="1"/>
  <c r="C4" i="1"/>
  <c r="C5" i="1" s="1"/>
  <c r="C9" i="1" l="1"/>
  <c r="J39" i="2"/>
  <c r="K39" i="2" s="1"/>
  <c r="L39" i="2" s="1"/>
  <c r="M39" i="2" s="1"/>
  <c r="N39" i="2" s="1"/>
  <c r="O39" i="2" s="1"/>
  <c r="P39" i="2" s="1"/>
  <c r="Q39" i="2" s="1"/>
  <c r="R39" i="2" s="1"/>
  <c r="S39" i="2" s="1"/>
  <c r="T39" i="2" s="1"/>
  <c r="U39" i="2" s="1"/>
  <c r="V39" i="2" s="1"/>
  <c r="W39" i="2" s="1"/>
  <c r="X39" i="2" s="1"/>
  <c r="E68" i="2"/>
  <c r="R36" i="2"/>
  <c r="S36" i="2" s="1"/>
  <c r="T36" i="2" s="1"/>
  <c r="U36" i="2" s="1"/>
  <c r="V36" i="2" s="1"/>
  <c r="W36" i="2" s="1"/>
  <c r="X36" i="2" l="1"/>
  <c r="F66" i="2"/>
  <c r="F67" i="2" s="1"/>
  <c r="D66" i="2"/>
  <c r="D67" i="2" s="1"/>
  <c r="E66" i="2"/>
  <c r="E67" i="2" s="1"/>
  <c r="E69" i="2" s="1"/>
  <c r="F68" i="2"/>
  <c r="F69" i="2" s="1"/>
  <c r="D68" i="2"/>
  <c r="D69" i="2" l="1"/>
</calcChain>
</file>

<file path=xl/sharedStrings.xml><?xml version="1.0" encoding="utf-8"?>
<sst xmlns="http://schemas.openxmlformats.org/spreadsheetml/2006/main" count="118" uniqueCount="88">
  <si>
    <t>LITE</t>
  </si>
  <si>
    <t>as of 08-19-25</t>
  </si>
  <si>
    <t>Products:</t>
  </si>
  <si>
    <t>Price</t>
  </si>
  <si>
    <t>cloud</t>
  </si>
  <si>
    <t>optical and photonic chips compents modules and subsystems. High spped optical transceivers</t>
  </si>
  <si>
    <t>S/O</t>
  </si>
  <si>
    <t>data interconnect solutions (laser transmitters, photonic IC, photodiodes, VCSELs, VCSEL arrays</t>
  </si>
  <si>
    <t>MC</t>
  </si>
  <si>
    <t>coherent pluggable transceivers, ROADMs, optical Amplifiers, optical channel monitors, switches, attenuators, WDMs, co-packaged optics and integrated photonics asseblies</t>
  </si>
  <si>
    <t>Cash</t>
  </si>
  <si>
    <t>asof 08-25-26</t>
  </si>
  <si>
    <t>Industrial</t>
  </si>
  <si>
    <t>short-pulse solid-state lasers, kilowatt-class fiber lasers, diode lasers, gas lasers,  laser light sources for 3D sensing cameras</t>
  </si>
  <si>
    <t>Assets</t>
  </si>
  <si>
    <t>Customers:</t>
  </si>
  <si>
    <t>Debt</t>
  </si>
  <si>
    <t>cloud data center opertors (azure, AWS), AI/ML infrastructure providers (oracle), network equipment manufacturers, also enterprise / communication-network customers</t>
  </si>
  <si>
    <t>EV</t>
  </si>
  <si>
    <t>industrial OEMs and manufacturing tool makesr consumer electronics customers using 3d sensing cameras.</t>
  </si>
  <si>
    <t>Emp. Cnt</t>
  </si>
  <si>
    <t>End markets:</t>
  </si>
  <si>
    <t>AI of course but broadly cloud, data centers, telecom service providers, enterprise networkings, optical networks in general.</t>
  </si>
  <si>
    <t>semiconductor and microelectronics fabrication, electric vehicle and battery production, solar cell prodcution, flat panel display, metal cutting and welding, smartphones and consumer electronics</t>
  </si>
  <si>
    <t>Growth?</t>
  </si>
  <si>
    <t>Definitely, I postulate much of the data interconnects in industry will be supplanted by photonics.</t>
  </si>
  <si>
    <t>Risks?</t>
  </si>
  <si>
    <t>the risk facet vector mostly comprised of beta, but also semiconductorand ai risk, and of course idiosyncratic risk however I think this risk facet vector is quite pleasing.</t>
  </si>
  <si>
    <t>Moat?</t>
  </si>
  <si>
    <t>high r&amp;d barrier, very esoteric technology, at least in what they are doing they have a solid moat.</t>
  </si>
  <si>
    <t>Cloud Revenue</t>
  </si>
  <si>
    <t>Industrial Tech Rev.</t>
  </si>
  <si>
    <t>Net Revenue</t>
  </si>
  <si>
    <t>COGS</t>
  </si>
  <si>
    <t>Gross Profit</t>
  </si>
  <si>
    <t>Gross Margin</t>
  </si>
  <si>
    <t>R&amp;D</t>
  </si>
  <si>
    <t>as a %</t>
  </si>
  <si>
    <t>SG&amp;A</t>
  </si>
  <si>
    <t>Restructuring Costs</t>
  </si>
  <si>
    <t>Gain on sale of facility</t>
  </si>
  <si>
    <t>n/a</t>
  </si>
  <si>
    <t>-----------------------------------------</t>
  </si>
  <si>
    <t>Net Income</t>
  </si>
  <si>
    <t>Depreciation</t>
  </si>
  <si>
    <t>Stock-based Comp</t>
  </si>
  <si>
    <t>Amortization</t>
  </si>
  <si>
    <t>bad debt, write offs etc.</t>
  </si>
  <si>
    <t>Other non-cash Income</t>
  </si>
  <si>
    <t>A/R</t>
  </si>
  <si>
    <t>Inventories</t>
  </si>
  <si>
    <t>Prepayments</t>
  </si>
  <si>
    <t>Income Taxes</t>
  </si>
  <si>
    <t>A/P</t>
  </si>
  <si>
    <t>Accrued Expenses</t>
  </si>
  <si>
    <t>Other</t>
  </si>
  <si>
    <t>CFFO</t>
  </si>
  <si>
    <t>Payments for CapEx</t>
  </si>
  <si>
    <t>Purchases of short-term investments</t>
  </si>
  <si>
    <t>Proceeds from sales of short term investments</t>
  </si>
  <si>
    <t>CFFI</t>
  </si>
  <si>
    <t>FCF</t>
  </si>
  <si>
    <t>------------------------------------------</t>
  </si>
  <si>
    <t>Short-term Investments</t>
  </si>
  <si>
    <t>Current Assets</t>
  </si>
  <si>
    <t>PPnE</t>
  </si>
  <si>
    <t>Goodwill</t>
  </si>
  <si>
    <t>Other Intangibles</t>
  </si>
  <si>
    <t>Deferred Tax</t>
  </si>
  <si>
    <t>Total Assets</t>
  </si>
  <si>
    <t>Accrued Payroll And expenses</t>
  </si>
  <si>
    <t>Other Current Liabs</t>
  </si>
  <si>
    <t>Total Current</t>
  </si>
  <si>
    <t>Long Term Debt</t>
  </si>
  <si>
    <t>Operating lease liabs</t>
  </si>
  <si>
    <t>Other Non Current liabs</t>
  </si>
  <si>
    <t>Totals Liabs</t>
  </si>
  <si>
    <t>SE</t>
  </si>
  <si>
    <t>Model:</t>
  </si>
  <si>
    <t>Bear</t>
  </si>
  <si>
    <t>Neutral</t>
  </si>
  <si>
    <t>Bull</t>
  </si>
  <si>
    <t>Discount:</t>
  </si>
  <si>
    <t>growthR:</t>
  </si>
  <si>
    <t>TV:</t>
  </si>
  <si>
    <t>dTV:</t>
  </si>
  <si>
    <t>NPV:</t>
  </si>
  <si>
    <t>pershare: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</si>
</sst>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 vertical="center"/>
    </xf>
    <xf numFmtId="0" fontId="0" fillId="0" borderId="0" xfId="0" quotePrefix="1"/>
    <xf numFmtId="14" fontId="1" fillId="0" borderId="0" xfId="0" applyNumberFormat="1" applyFont="1"/>
    <xf numFmtId="10" fontId="0" fillId="0" borderId="0" xfId="0" applyNumberFormat="1"/>
    <xf numFmtId="0" fontId="0" fillId="0" borderId="0" xfId="0" applyFont="1"/>
    <xf numFmtId="8" fontId="1" fillId="0" borderId="0" xfId="0" applyNumberFormat="1" applyFont="1"/>
    <xf numFmtId="10" fontId="0" fillId="0" borderId="0" xfId="0" applyNumberFormat="1" applyFont="1"/>
    <xf numFmtId="9" fontId="0" fillId="0" borderId="0" xfId="0" applyNumberFormat="1" applyFont="1"/>
    <xf numFmtId="8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02DA6-1311-4079-A617-65C8F88F63C3}">
  <dimension ref="B2:H15"/>
  <sheetViews>
    <sheetView tabSelected="1" workbookViewId="0">
      <selection activeCell="E16" sqref="E16"/>
    </sheetView>
  </sheetViews>
  <sheetFormatPr defaultRowHeight="15"/>
  <cols>
    <col min="6" max="6" width="12.140625" customWidth="1"/>
    <col min="9" max="9" width="12" bestFit="1" customWidth="1"/>
  </cols>
  <sheetData>
    <row r="2" spans="2:8">
      <c r="C2" s="2" t="s">
        <v>0</v>
      </c>
      <c r="D2" s="1" t="s">
        <v>1</v>
      </c>
      <c r="F2" t="s">
        <v>2</v>
      </c>
    </row>
    <row r="3" spans="2:8">
      <c r="B3" t="s">
        <v>3</v>
      </c>
      <c r="C3">
        <v>685</v>
      </c>
      <c r="F3" s="1" t="s">
        <v>4</v>
      </c>
      <c r="G3" t="s">
        <v>5</v>
      </c>
    </row>
    <row r="4" spans="2:8">
      <c r="B4" t="s">
        <v>6</v>
      </c>
      <c r="C4">
        <f>69.9*10^6</f>
        <v>69900000</v>
      </c>
      <c r="F4" s="1" t="s">
        <v>4</v>
      </c>
      <c r="G4" t="s">
        <v>7</v>
      </c>
    </row>
    <row r="5" spans="2:8">
      <c r="B5" t="s">
        <v>8</v>
      </c>
      <c r="C5">
        <f>C3*C4</f>
        <v>47881500000</v>
      </c>
      <c r="F5" s="1" t="s">
        <v>4</v>
      </c>
      <c r="G5" t="s">
        <v>9</v>
      </c>
    </row>
    <row r="6" spans="2:8">
      <c r="B6" t="s">
        <v>10</v>
      </c>
      <c r="C6">
        <f>520.7*10^6</f>
        <v>520700000.00000006</v>
      </c>
      <c r="D6" s="1" t="s">
        <v>11</v>
      </c>
      <c r="F6" s="1" t="s">
        <v>12</v>
      </c>
      <c r="G6" t="s">
        <v>13</v>
      </c>
    </row>
    <row r="7" spans="2:8">
      <c r="B7" t="s">
        <v>14</v>
      </c>
      <c r="C7">
        <f>1717.3*10^6</f>
        <v>1717300000</v>
      </c>
      <c r="F7" t="s">
        <v>15</v>
      </c>
    </row>
    <row r="8" spans="2:8">
      <c r="B8" t="s">
        <v>16</v>
      </c>
      <c r="C8">
        <f>3084*10^6</f>
        <v>3084000000</v>
      </c>
      <c r="G8" s="1" t="s">
        <v>4</v>
      </c>
      <c r="H8" t="s">
        <v>17</v>
      </c>
    </row>
    <row r="9" spans="2:8">
      <c r="B9" t="s">
        <v>18</v>
      </c>
      <c r="C9" s="1">
        <f>C5-C6+C8</f>
        <v>50444800000</v>
      </c>
      <c r="G9" s="1" t="s">
        <v>12</v>
      </c>
      <c r="H9" t="s">
        <v>19</v>
      </c>
    </row>
    <row r="10" spans="2:8">
      <c r="B10" t="s">
        <v>20</v>
      </c>
      <c r="C10">
        <v>10562</v>
      </c>
      <c r="F10" t="s">
        <v>21</v>
      </c>
      <c r="G10" t="s">
        <v>22</v>
      </c>
    </row>
    <row r="11" spans="2:8">
      <c r="F11" s="1" t="s">
        <v>4</v>
      </c>
      <c r="G11" t="s">
        <v>22</v>
      </c>
    </row>
    <row r="12" spans="2:8">
      <c r="F12" s="1" t="s">
        <v>12</v>
      </c>
      <c r="G12" t="s">
        <v>23</v>
      </c>
    </row>
    <row r="13" spans="2:8">
      <c r="F13" t="s">
        <v>24</v>
      </c>
      <c r="G13" t="s">
        <v>25</v>
      </c>
    </row>
    <row r="14" spans="2:8">
      <c r="F14" t="s">
        <v>26</v>
      </c>
      <c r="G14" t="s">
        <v>27</v>
      </c>
    </row>
    <row r="15" spans="2:8">
      <c r="F15" t="s">
        <v>28</v>
      </c>
      <c r="G15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2447A-BA79-43A6-BAA4-87C63980760E}">
  <dimension ref="A1:X70"/>
  <sheetViews>
    <sheetView topLeftCell="A28" zoomScale="85" zoomScaleNormal="85" workbookViewId="0">
      <selection activeCell="H72" sqref="H72"/>
    </sheetView>
  </sheetViews>
  <sheetFormatPr defaultRowHeight="15"/>
  <cols>
    <col min="1" max="1" width="9.42578125" bestFit="1" customWidth="1"/>
    <col min="2" max="2" width="21.140625" customWidth="1"/>
    <col min="3" max="3" width="11.140625" bestFit="1" customWidth="1"/>
    <col min="4" max="4" width="10.140625" customWidth="1"/>
    <col min="5" max="5" width="9.85546875" bestFit="1" customWidth="1"/>
    <col min="6" max="6" width="10.85546875" bestFit="1" customWidth="1"/>
    <col min="10" max="10" width="9.42578125" bestFit="1" customWidth="1"/>
  </cols>
  <sheetData>
    <row r="1" spans="1:7">
      <c r="A1" s="1" t="s">
        <v>0</v>
      </c>
      <c r="C1" s="4">
        <v>44380</v>
      </c>
      <c r="D1" s="4">
        <v>44744</v>
      </c>
      <c r="E1" s="4">
        <v>45108</v>
      </c>
      <c r="F1" s="4">
        <v>45502</v>
      </c>
      <c r="G1" s="4">
        <v>45836</v>
      </c>
    </row>
    <row r="2" spans="1:7">
      <c r="B2" t="s">
        <v>30</v>
      </c>
      <c r="F2">
        <v>1084.9000000000001</v>
      </c>
      <c r="G2">
        <v>1410.8</v>
      </c>
    </row>
    <row r="3" spans="1:7">
      <c r="B3" t="s">
        <v>31</v>
      </c>
      <c r="F3">
        <v>274.3</v>
      </c>
      <c r="G3">
        <v>234.2</v>
      </c>
    </row>
    <row r="4" spans="1:7">
      <c r="B4" t="s">
        <v>32</v>
      </c>
      <c r="C4">
        <v>1742.8</v>
      </c>
      <c r="D4">
        <v>1712.6</v>
      </c>
      <c r="E4">
        <v>1767</v>
      </c>
      <c r="F4">
        <v>1359.2</v>
      </c>
      <c r="G4">
        <v>1645</v>
      </c>
    </row>
    <row r="5" spans="1:7">
      <c r="B5" t="s">
        <v>33</v>
      </c>
      <c r="C5">
        <v>898</v>
      </c>
      <c r="D5">
        <v>861.1</v>
      </c>
      <c r="E5">
        <v>1113.5999999999999</v>
      </c>
      <c r="F5" s="1">
        <f>F4-F6</f>
        <v>1107.7</v>
      </c>
      <c r="G5" s="1">
        <f>G4-G6</f>
        <v>1185.0999999999999</v>
      </c>
    </row>
    <row r="6" spans="1:7">
      <c r="B6" t="s">
        <v>34</v>
      </c>
      <c r="C6">
        <v>783.1</v>
      </c>
      <c r="D6">
        <v>788.6</v>
      </c>
      <c r="E6">
        <v>569</v>
      </c>
      <c r="F6">
        <v>251.5</v>
      </c>
      <c r="G6">
        <v>459.9</v>
      </c>
    </row>
    <row r="7" spans="1:7">
      <c r="B7" t="s">
        <v>35</v>
      </c>
      <c r="C7">
        <f>C6/C4</f>
        <v>0.44933440440670186</v>
      </c>
      <c r="D7">
        <f>D6/D4</f>
        <v>0.4604694616372767</v>
      </c>
      <c r="E7">
        <f>E6/E4</f>
        <v>0.32201471420486699</v>
      </c>
      <c r="F7">
        <f>F6/F4</f>
        <v>0.18503531489111241</v>
      </c>
      <c r="G7" s="5">
        <f>G6/G4</f>
        <v>0.27957446808510639</v>
      </c>
    </row>
    <row r="8" spans="1:7">
      <c r="B8" t="s">
        <v>36</v>
      </c>
      <c r="C8">
        <v>214.5</v>
      </c>
      <c r="D8">
        <v>220.7</v>
      </c>
      <c r="E8">
        <v>307.8</v>
      </c>
      <c r="F8">
        <v>302.2</v>
      </c>
      <c r="G8">
        <v>303.89999999999998</v>
      </c>
    </row>
    <row r="9" spans="1:7">
      <c r="B9" t="s">
        <v>37</v>
      </c>
      <c r="C9" s="5">
        <f>C8/C4</f>
        <v>0.12307780582969934</v>
      </c>
      <c r="D9" s="5">
        <f>D8/D4</f>
        <v>0.12886838724746</v>
      </c>
      <c r="E9" s="5">
        <f>E8/E4</f>
        <v>0.17419354838709677</v>
      </c>
      <c r="F9" s="5">
        <f>F8/F4</f>
        <v>0.22233666862860504</v>
      </c>
      <c r="G9" s="5">
        <f>G8/G4</f>
        <v>0.18474164133738599</v>
      </c>
    </row>
    <row r="10" spans="1:7">
      <c r="B10" t="s">
        <v>38</v>
      </c>
      <c r="C10">
        <v>241.4</v>
      </c>
      <c r="D10">
        <v>265.7</v>
      </c>
      <c r="E10">
        <v>348.8</v>
      </c>
      <c r="F10">
        <v>310.7</v>
      </c>
      <c r="G10">
        <v>348.2</v>
      </c>
    </row>
    <row r="11" spans="1:7">
      <c r="B11" t="s">
        <v>37</v>
      </c>
      <c r="C11" s="5">
        <f>C10/C4</f>
        <v>0.1385127381225614</v>
      </c>
      <c r="D11" s="5">
        <f>D10/D4</f>
        <v>0.1551442251547355</v>
      </c>
      <c r="E11" s="5">
        <f>E10/E4</f>
        <v>0.19739671760045274</v>
      </c>
      <c r="F11" s="5">
        <f>F10/F4</f>
        <v>0.22859034726309593</v>
      </c>
      <c r="G11" s="5">
        <f>G10/G4</f>
        <v>0.21167173252279634</v>
      </c>
    </row>
    <row r="12" spans="1:7">
      <c r="B12" t="s">
        <v>39</v>
      </c>
      <c r="C12">
        <v>7.7</v>
      </c>
      <c r="D12">
        <v>-1.1000000000000001</v>
      </c>
      <c r="E12">
        <v>28.1</v>
      </c>
      <c r="F12">
        <v>72.599999999999994</v>
      </c>
      <c r="G12">
        <v>22.8</v>
      </c>
    </row>
    <row r="13" spans="1:7">
      <c r="B13" t="s">
        <v>37</v>
      </c>
      <c r="C13" s="5">
        <f>C12/C4</f>
        <v>4.4181776451686942E-3</v>
      </c>
      <c r="D13" s="5">
        <f>D12/D4</f>
        <v>-6.4229825995562313E-4</v>
      </c>
      <c r="E13" s="5">
        <f>E12/E4</f>
        <v>1.590265987549519E-2</v>
      </c>
      <c r="F13" s="5">
        <f>F12/F4</f>
        <v>5.3413772807533837E-2</v>
      </c>
      <c r="G13" s="5">
        <f>G12/G4</f>
        <v>1.386018237082067E-2</v>
      </c>
    </row>
    <row r="14" spans="1:7">
      <c r="B14" t="s">
        <v>40</v>
      </c>
      <c r="C14" t="s">
        <v>41</v>
      </c>
      <c r="D14" t="s">
        <v>41</v>
      </c>
      <c r="E14" t="s">
        <v>41</v>
      </c>
      <c r="F14" t="s">
        <v>41</v>
      </c>
      <c r="G14">
        <v>-34.9</v>
      </c>
    </row>
    <row r="15" spans="1:7">
      <c r="B15" t="s">
        <v>37</v>
      </c>
      <c r="C15" t="s">
        <v>41</v>
      </c>
      <c r="D15" t="s">
        <v>41</v>
      </c>
      <c r="E15" t="s">
        <v>41</v>
      </c>
      <c r="F15" t="s">
        <v>41</v>
      </c>
      <c r="G15">
        <f>G14/1645</f>
        <v>-2.1215805471124619E-2</v>
      </c>
    </row>
    <row r="16" spans="1:7">
      <c r="A16" s="3" t="s">
        <v>42</v>
      </c>
    </row>
    <row r="17" spans="2:7">
      <c r="B17" t="s">
        <v>43</v>
      </c>
      <c r="C17">
        <v>397.3</v>
      </c>
      <c r="D17">
        <v>198.9</v>
      </c>
      <c r="E17">
        <v>-131.6</v>
      </c>
      <c r="F17">
        <v>-546.5</v>
      </c>
      <c r="G17">
        <v>25.9</v>
      </c>
    </row>
    <row r="18" spans="2:7">
      <c r="B18" t="s">
        <v>44</v>
      </c>
      <c r="C18">
        <v>91.4</v>
      </c>
      <c r="D18">
        <v>81.599999999999994</v>
      </c>
      <c r="E18">
        <v>106.6</v>
      </c>
      <c r="F18">
        <v>110.6</v>
      </c>
      <c r="G18">
        <v>104.3</v>
      </c>
    </row>
    <row r="19" spans="2:7">
      <c r="B19" t="s">
        <v>45</v>
      </c>
      <c r="C19">
        <v>92.9</v>
      </c>
      <c r="D19">
        <v>103.1</v>
      </c>
      <c r="E19">
        <v>148.4</v>
      </c>
      <c r="F19">
        <v>128.80000000000001</v>
      </c>
      <c r="G19">
        <v>177.2</v>
      </c>
    </row>
    <row r="20" spans="2:7">
      <c r="B20" t="s">
        <v>46</v>
      </c>
      <c r="C20">
        <v>85.7</v>
      </c>
      <c r="D20">
        <v>85.5</v>
      </c>
      <c r="E20">
        <v>149</v>
      </c>
      <c r="F20">
        <v>179.7</v>
      </c>
      <c r="G20">
        <v>152.4</v>
      </c>
    </row>
    <row r="21" spans="2:7">
      <c r="B21" t="s">
        <v>47</v>
      </c>
      <c r="C21" t="s">
        <v>41</v>
      </c>
      <c r="D21" t="s">
        <v>41</v>
      </c>
      <c r="E21" t="s">
        <v>41</v>
      </c>
      <c r="F21" t="s">
        <v>41</v>
      </c>
      <c r="G21">
        <v>3.4</v>
      </c>
    </row>
    <row r="22" spans="2:7">
      <c r="B22" t="s">
        <v>48</v>
      </c>
      <c r="C22">
        <v>9.9</v>
      </c>
      <c r="D22">
        <v>11.4</v>
      </c>
      <c r="E22">
        <v>-5.7</v>
      </c>
      <c r="F22">
        <v>-12.2</v>
      </c>
      <c r="G22">
        <v>-3.5</v>
      </c>
    </row>
    <row r="23" spans="2:7">
      <c r="B23" t="s">
        <v>49</v>
      </c>
      <c r="C23">
        <v>20.2</v>
      </c>
      <c r="D23">
        <v>-49.2</v>
      </c>
      <c r="E23">
        <v>83.2</v>
      </c>
      <c r="F23">
        <v>72.3</v>
      </c>
      <c r="G23">
        <v>-58.7</v>
      </c>
    </row>
    <row r="24" spans="2:7">
      <c r="B24" t="s">
        <v>50</v>
      </c>
      <c r="C24">
        <v>-6.6</v>
      </c>
      <c r="D24">
        <v>-51.8</v>
      </c>
      <c r="E24">
        <v>-81.5</v>
      </c>
      <c r="F24">
        <v>73.8</v>
      </c>
      <c r="G24">
        <v>-71.3</v>
      </c>
    </row>
    <row r="25" spans="2:7">
      <c r="B25" t="s">
        <v>51</v>
      </c>
      <c r="C25">
        <v>-4.8</v>
      </c>
      <c r="D25">
        <v>-14.3</v>
      </c>
      <c r="E25">
        <v>-4.2</v>
      </c>
      <c r="F25">
        <v>30.6</v>
      </c>
      <c r="G25">
        <v>-35.1</v>
      </c>
    </row>
    <row r="26" spans="2:7">
      <c r="B26" t="s">
        <v>52</v>
      </c>
      <c r="C26">
        <v>16</v>
      </c>
      <c r="D26">
        <v>-21.1</v>
      </c>
      <c r="E26">
        <v>-37.9</v>
      </c>
      <c r="F26">
        <v>77.7</v>
      </c>
      <c r="G26">
        <v>-218.2</v>
      </c>
    </row>
    <row r="27" spans="2:7">
      <c r="B27" t="s">
        <v>53</v>
      </c>
      <c r="C27">
        <v>-34</v>
      </c>
      <c r="D27">
        <v>47</v>
      </c>
      <c r="E27">
        <v>-74</v>
      </c>
      <c r="F27">
        <v>-89.7</v>
      </c>
      <c r="G27">
        <v>69.2</v>
      </c>
    </row>
    <row r="28" spans="2:7">
      <c r="B28" t="s">
        <v>54</v>
      </c>
      <c r="C28">
        <v>7.5</v>
      </c>
      <c r="D28">
        <v>4.0999999999999996</v>
      </c>
      <c r="E28">
        <v>14.8</v>
      </c>
      <c r="F28">
        <v>-16.100000000000001</v>
      </c>
      <c r="G28">
        <v>22</v>
      </c>
    </row>
    <row r="29" spans="2:7">
      <c r="B29" t="s">
        <v>55</v>
      </c>
      <c r="F29" s="1"/>
    </row>
    <row r="30" spans="2:7">
      <c r="B30" t="s">
        <v>56</v>
      </c>
      <c r="C30">
        <v>738.7</v>
      </c>
      <c r="D30">
        <v>459.3</v>
      </c>
      <c r="E30">
        <v>179.8</v>
      </c>
      <c r="F30">
        <v>24.7</v>
      </c>
      <c r="G30">
        <v>126.3</v>
      </c>
    </row>
    <row r="31" spans="2:7">
      <c r="B31" t="s">
        <v>57</v>
      </c>
      <c r="C31">
        <v>-84.8</v>
      </c>
      <c r="D31">
        <v>-91.2</v>
      </c>
      <c r="E31">
        <v>-128.5</v>
      </c>
      <c r="F31">
        <v>-133</v>
      </c>
      <c r="G31">
        <v>-231</v>
      </c>
    </row>
    <row r="32" spans="2:7">
      <c r="B32" t="s">
        <v>58</v>
      </c>
      <c r="C32">
        <v>-1991</v>
      </c>
      <c r="D32">
        <v>-1085.0999999999999</v>
      </c>
      <c r="E32">
        <v>-1030.3</v>
      </c>
      <c r="F32">
        <v>-278.7</v>
      </c>
      <c r="G32">
        <v>-365.9</v>
      </c>
    </row>
    <row r="33" spans="1:24">
      <c r="B33" t="s">
        <v>59</v>
      </c>
      <c r="C33">
        <v>2062.1999999999998</v>
      </c>
      <c r="D33">
        <v>973.6</v>
      </c>
      <c r="E33">
        <v>1146.0999999999999</v>
      </c>
      <c r="F33">
        <v>-287.7</v>
      </c>
      <c r="G33">
        <v>464.7</v>
      </c>
    </row>
    <row r="34" spans="1:24">
      <c r="B34" t="s">
        <v>55</v>
      </c>
      <c r="F34" s="6"/>
    </row>
    <row r="35" spans="1:24">
      <c r="B35" t="s">
        <v>60</v>
      </c>
      <c r="C35">
        <v>1</v>
      </c>
      <c r="D35">
        <v>-226.3</v>
      </c>
      <c r="E35">
        <v>-874</v>
      </c>
      <c r="F35">
        <v>-114.3</v>
      </c>
      <c r="G35">
        <v>-84.1</v>
      </c>
    </row>
    <row r="36" spans="1:24">
      <c r="B36" t="s">
        <v>61</v>
      </c>
      <c r="C36">
        <f>C30+C31</f>
        <v>653.90000000000009</v>
      </c>
      <c r="D36">
        <f>D30+D31</f>
        <v>368.1</v>
      </c>
      <c r="E36">
        <f>E30+E31</f>
        <v>51.300000000000011</v>
      </c>
      <c r="F36">
        <f>F30+F31</f>
        <v>-108.3</v>
      </c>
      <c r="G36">
        <f>G30+G31</f>
        <v>-104.7</v>
      </c>
      <c r="H36">
        <v>150</v>
      </c>
      <c r="I36">
        <f>((H36)*(1+$D65)^I37)/((1+$D64)^I37)</f>
        <v>148.876404494382</v>
      </c>
      <c r="J36">
        <f>((I36)*(1+$D65)^J37)/((1+$D64)^J37)</f>
        <v>146.65439977581363</v>
      </c>
      <c r="K36">
        <f t="shared" ref="J36:X36" si="0">((J36)*(1+$D65)^K37)/((1+$D64)^K37)</f>
        <v>143.38341982402778</v>
      </c>
      <c r="L36">
        <f t="shared" si="0"/>
        <v>139.13531794270955</v>
      </c>
      <c r="M36">
        <f t="shared" si="0"/>
        <v>134.00174307461816</v>
      </c>
      <c r="N36">
        <f t="shared" si="0"/>
        <v>128.09085456279652</v>
      </c>
      <c r="O36">
        <f t="shared" si="0"/>
        <v>121.52353971235765</v>
      </c>
      <c r="P36">
        <f t="shared" si="0"/>
        <v>114.42931855554758</v>
      </c>
      <c r="Q36">
        <f t="shared" si="0"/>
        <v>106.942128762886</v>
      </c>
      <c r="R36">
        <f t="shared" si="0"/>
        <v>99.1961805792955</v>
      </c>
      <c r="S36">
        <f t="shared" si="0"/>
        <v>91.322057746684578</v>
      </c>
      <c r="T36">
        <f t="shared" si="0"/>
        <v>83.443217100363157</v>
      </c>
      <c r="U36">
        <f t="shared" si="0"/>
        <v>75.67300898001217</v>
      </c>
      <c r="V36">
        <f t="shared" si="0"/>
        <v>68.112305247172415</v>
      </c>
      <c r="W36">
        <f t="shared" si="0"/>
        <v>60.847784186343759</v>
      </c>
      <c r="X36">
        <f t="shared" si="0"/>
        <v>60.847784186343759</v>
      </c>
    </row>
    <row r="37" spans="1:24">
      <c r="A37" s="3" t="s">
        <v>62</v>
      </c>
      <c r="I37">
        <v>1</v>
      </c>
      <c r="J37">
        <f>I37+1</f>
        <v>2</v>
      </c>
      <c r="K37">
        <f t="shared" ref="K37:W37" si="1">J37+1</f>
        <v>3</v>
      </c>
      <c r="L37">
        <f t="shared" si="1"/>
        <v>4</v>
      </c>
      <c r="M37">
        <f t="shared" si="1"/>
        <v>5</v>
      </c>
      <c r="N37">
        <f t="shared" si="1"/>
        <v>6</v>
      </c>
      <c r="O37">
        <f t="shared" si="1"/>
        <v>7</v>
      </c>
      <c r="P37">
        <f t="shared" si="1"/>
        <v>8</v>
      </c>
      <c r="Q37">
        <f t="shared" si="1"/>
        <v>9</v>
      </c>
      <c r="R37">
        <f t="shared" si="1"/>
        <v>10</v>
      </c>
      <c r="S37">
        <f t="shared" si="1"/>
        <v>11</v>
      </c>
      <c r="T37">
        <f t="shared" si="1"/>
        <v>12</v>
      </c>
      <c r="U37">
        <f t="shared" si="1"/>
        <v>13</v>
      </c>
      <c r="V37">
        <f t="shared" si="1"/>
        <v>14</v>
      </c>
      <c r="W37">
        <f t="shared" si="1"/>
        <v>15</v>
      </c>
    </row>
    <row r="38" spans="1:24">
      <c r="A38" s="4">
        <v>45836</v>
      </c>
      <c r="B38" t="s">
        <v>10</v>
      </c>
      <c r="G38">
        <v>520.70000000000005</v>
      </c>
      <c r="H38">
        <v>200</v>
      </c>
      <c r="I38">
        <f>((H38)*(1+$E65)^I37)/((1+$E64)^I37)</f>
        <v>199.71751412429376</v>
      </c>
      <c r="J38">
        <f t="shared" ref="J38:X38" si="2">((I38)*(1+$E65)^J37)/((1+$E64)^J37)</f>
        <v>199.15373878338383</v>
      </c>
      <c r="K38">
        <f t="shared" si="2"/>
        <v>198.31105835700143</v>
      </c>
      <c r="L38">
        <f t="shared" si="2"/>
        <v>197.19302839490018</v>
      </c>
      <c r="M38">
        <f t="shared" si="2"/>
        <v>195.8043506253419</v>
      </c>
      <c r="N38">
        <f t="shared" si="2"/>
        <v>194.15084001708473</v>
      </c>
      <c r="O38">
        <f t="shared" si="2"/>
        <v>192.23938421776188</v>
      </c>
      <c r="P38">
        <f t="shared" si="2"/>
        <v>190.07789576454962</v>
      </c>
      <c r="Q38">
        <f t="shared" si="2"/>
        <v>187.67525753106884</v>
      </c>
      <c r="R38">
        <f t="shared" si="2"/>
        <v>185.04126193672136</v>
      </c>
      <c r="S38">
        <f t="shared" si="2"/>
        <v>182.18654450039872</v>
      </c>
      <c r="T38">
        <f t="shared" si="2"/>
        <v>179.12251236908165</v>
      </c>
      <c r="U38">
        <f t="shared" si="2"/>
        <v>175.8612684927443</v>
      </c>
      <c r="V38">
        <f t="shared" si="2"/>
        <v>172.41553214977694</v>
      </c>
      <c r="W38">
        <f t="shared" si="2"/>
        <v>168.79855655154921</v>
      </c>
      <c r="X38">
        <f t="shared" si="2"/>
        <v>168.79855655154921</v>
      </c>
    </row>
    <row r="39" spans="1:24">
      <c r="B39" t="s">
        <v>63</v>
      </c>
      <c r="G39">
        <v>356.4</v>
      </c>
      <c r="H39">
        <v>250</v>
      </c>
      <c r="I39">
        <f>((H39)*(1+$F65)^I37)/((1+$F64)^I37)</f>
        <v>249.88095238095238</v>
      </c>
      <c r="J39">
        <f t="shared" ref="J39:X39" si="3">((I39)*(1+$F65)^J37)/((1+$F64)^J37)</f>
        <v>249.6430271838895</v>
      </c>
      <c r="K39">
        <f t="shared" si="3"/>
        <v>249.28656408614475</v>
      </c>
      <c r="L39">
        <f t="shared" si="3"/>
        <v>248.81207159323918</v>
      </c>
      <c r="M39">
        <f t="shared" si="3"/>
        <v>248.22022583007595</v>
      </c>
      <c r="N39">
        <f t="shared" si="3"/>
        <v>247.51186893546631</v>
      </c>
      <c r="O39">
        <f t="shared" si="3"/>
        <v>246.6880070653219</v>
      </c>
      <c r="P39">
        <f t="shared" si="3"/>
        <v>245.74980801114256</v>
      </c>
      <c r="Q39">
        <f t="shared" si="3"/>
        <v>244.69859844168786</v>
      </c>
      <c r="R39">
        <f t="shared" si="3"/>
        <v>243.53586077695419</v>
      </c>
      <c r="S39">
        <f t="shared" si="3"/>
        <v>242.26322970476548</v>
      </c>
      <c r="T39">
        <f t="shared" si="3"/>
        <v>240.882488351436</v>
      </c>
      <c r="U39">
        <f t="shared" si="3"/>
        <v>239.39556411905943</v>
      </c>
      <c r="V39">
        <f t="shared" si="3"/>
        <v>237.80452420302606</v>
      </c>
      <c r="W39">
        <f t="shared" si="3"/>
        <v>236.11157080435567</v>
      </c>
      <c r="X39">
        <f t="shared" si="3"/>
        <v>236.11157080435567</v>
      </c>
    </row>
    <row r="40" spans="1:24">
      <c r="B40" t="s">
        <v>49</v>
      </c>
      <c r="G40">
        <v>250</v>
      </c>
    </row>
    <row r="41" spans="1:24">
      <c r="B41" t="s">
        <v>50</v>
      </c>
      <c r="G41">
        <v>470.1</v>
      </c>
    </row>
    <row r="42" spans="1:24">
      <c r="B42" t="s">
        <v>51</v>
      </c>
      <c r="G42">
        <v>120.1</v>
      </c>
    </row>
    <row r="43" spans="1:24">
      <c r="B43" t="s">
        <v>64</v>
      </c>
      <c r="G43">
        <v>1717.3</v>
      </c>
    </row>
    <row r="44" spans="1:24">
      <c r="B44" t="s">
        <v>65</v>
      </c>
      <c r="G44">
        <v>726.4</v>
      </c>
    </row>
    <row r="45" spans="1:24">
      <c r="B45" t="s">
        <v>66</v>
      </c>
      <c r="G45">
        <v>1060.9000000000001</v>
      </c>
    </row>
    <row r="46" spans="1:24">
      <c r="B46" t="s">
        <v>67</v>
      </c>
      <c r="G46">
        <v>465.1</v>
      </c>
    </row>
    <row r="47" spans="1:24">
      <c r="B47" t="s">
        <v>68</v>
      </c>
      <c r="G47">
        <v>210.3</v>
      </c>
    </row>
    <row r="48" spans="1:24">
      <c r="B48" t="s">
        <v>55</v>
      </c>
      <c r="G48">
        <v>10.8</v>
      </c>
    </row>
    <row r="49" spans="1:7">
      <c r="B49" t="s">
        <v>69</v>
      </c>
      <c r="G49">
        <v>4218.7</v>
      </c>
    </row>
    <row r="50" spans="1:7">
      <c r="A50" s="3" t="s">
        <v>62</v>
      </c>
    </row>
    <row r="51" spans="1:7">
      <c r="B51" t="s">
        <v>53</v>
      </c>
      <c r="G51">
        <v>225.2</v>
      </c>
    </row>
    <row r="52" spans="1:7">
      <c r="B52" t="s">
        <v>70</v>
      </c>
      <c r="G52">
        <v>57.9</v>
      </c>
    </row>
    <row r="53" spans="1:7">
      <c r="B53" t="s">
        <v>71</v>
      </c>
      <c r="G53">
        <v>109.7</v>
      </c>
    </row>
    <row r="54" spans="1:7">
      <c r="B54" t="s">
        <v>72</v>
      </c>
      <c r="G54">
        <v>392.8</v>
      </c>
    </row>
    <row r="55" spans="1:7">
      <c r="B55" t="s">
        <v>73</v>
      </c>
      <c r="G55">
        <v>2562.6</v>
      </c>
    </row>
    <row r="56" spans="1:7">
      <c r="B56" t="s">
        <v>74</v>
      </c>
      <c r="G56">
        <v>23.6</v>
      </c>
    </row>
    <row r="57" spans="1:7">
      <c r="B57" t="s">
        <v>75</v>
      </c>
      <c r="G57">
        <v>287.8</v>
      </c>
    </row>
    <row r="58" spans="1:7">
      <c r="B58" t="s">
        <v>76</v>
      </c>
      <c r="G58">
        <f>3084</f>
        <v>3084</v>
      </c>
    </row>
    <row r="60" spans="1:7">
      <c r="B60" t="s">
        <v>77</v>
      </c>
      <c r="G60" s="1">
        <f>G49-G58</f>
        <v>1134.6999999999998</v>
      </c>
    </row>
    <row r="63" spans="1:7">
      <c r="C63" s="1" t="s">
        <v>78</v>
      </c>
      <c r="D63" s="6" t="s">
        <v>79</v>
      </c>
      <c r="E63" s="6" t="s">
        <v>80</v>
      </c>
      <c r="F63" s="6" t="s">
        <v>81</v>
      </c>
    </row>
    <row r="64" spans="1:7">
      <c r="C64" s="1" t="s">
        <v>82</v>
      </c>
      <c r="D64" s="8">
        <v>6.8000000000000005E-2</v>
      </c>
      <c r="E64" s="8">
        <v>6.2E-2</v>
      </c>
      <c r="F64" s="8">
        <v>0.05</v>
      </c>
    </row>
    <row r="65" spans="3:6">
      <c r="C65" s="1" t="s">
        <v>83</v>
      </c>
      <c r="D65" s="9">
        <v>0.06</v>
      </c>
      <c r="E65" s="9">
        <v>6.0499999999999998E-2</v>
      </c>
      <c r="F65" s="9">
        <v>4.9500000000000002E-2</v>
      </c>
    </row>
    <row r="66" spans="3:6">
      <c r="C66" s="1" t="s">
        <v>84</v>
      </c>
      <c r="D66" s="6">
        <f>W36*(1+D65)/(D64-D65)</f>
        <v>8062.3314046905407</v>
      </c>
      <c r="E66" s="6">
        <f>W36*(1+E65)/(E64-E65)</f>
        <v>43019.383419744998</v>
      </c>
      <c r="F66" s="6">
        <f>W36*(1+F65)/(F64-F65)</f>
        <v>127719.49900713546</v>
      </c>
    </row>
    <row r="67" spans="3:6">
      <c r="C67" s="1" t="s">
        <v>85</v>
      </c>
      <c r="D67" s="6">
        <f>D66/(1+D64)^15</f>
        <v>3005.327847756615</v>
      </c>
      <c r="E67" s="6">
        <f>E66/(1+E64)^15</f>
        <v>17450.040141725516</v>
      </c>
      <c r="F67" s="6">
        <f>F66/(1+F64)^15</f>
        <v>61435.262782044847</v>
      </c>
    </row>
    <row r="68" spans="3:6">
      <c r="C68" s="1" t="s">
        <v>86</v>
      </c>
      <c r="D68" s="10">
        <f>NPV(D64, H36:V36)</f>
        <v>1143.874186493993</v>
      </c>
      <c r="E68" s="10">
        <f>NPV(E64, H38:V38)</f>
        <v>1841.3540015795079</v>
      </c>
      <c r="F68" s="10">
        <f>NPV(F64, H39:V39)</f>
        <v>2557.5031064099226</v>
      </c>
    </row>
    <row r="69" spans="3:6">
      <c r="C69" s="1" t="s">
        <v>87</v>
      </c>
      <c r="D69" s="7">
        <f>(D68+D67)*10^6/Main!C4</f>
        <v>59.35911350859238</v>
      </c>
      <c r="E69" s="7">
        <f>(E68+E67)*10^6/Main!C4</f>
        <v>275.98561006158832</v>
      </c>
      <c r="F69" s="7">
        <f>(F68+F67)*10^6/Main!C4</f>
        <v>915.49021299649178</v>
      </c>
    </row>
    <row r="70" spans="3:6">
      <c r="C70" s="1"/>
      <c r="D70" s="6"/>
      <c r="E70" s="6"/>
      <c r="F7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BurgShot Homie</dc:creator>
  <cp:keywords/>
  <dc:description/>
  <cp:lastModifiedBy/>
  <cp:revision/>
  <dcterms:created xsi:type="dcterms:W3CDTF">2026-03-31T17:26:56Z</dcterms:created>
  <dcterms:modified xsi:type="dcterms:W3CDTF">2026-03-31T22:39:06Z</dcterms:modified>
  <cp:category/>
  <cp:contentStatus/>
</cp:coreProperties>
</file>